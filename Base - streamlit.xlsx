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\Desktop\"/>
    </mc:Choice>
  </mc:AlternateContent>
  <xr:revisionPtr revIDLastSave="0" documentId="8_{04F965B0-8944-4A57-BDDF-621E852F8897}" xr6:coauthVersionLast="47" xr6:coauthVersionMax="47" xr10:uidLastSave="{00000000-0000-0000-0000-000000000000}"/>
  <bookViews>
    <workbookView xWindow="28680" yWindow="-120" windowWidth="29040" windowHeight="15720" xr2:uid="{7EFE5E9A-F678-4169-B87C-D77ECAFA969A}"/>
  </bookViews>
  <sheets>
    <sheet name="Base" sheetId="1" r:id="rId1"/>
  </sheets>
  <definedNames>
    <definedName name="_xlnm._FilterDatabase" localSheetId="0" hidden="1">Base!$P$5:$P$123</definedName>
    <definedName name="Caminho">L2C11</definedName>
    <definedName name="Nome">L3C3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88" i="1" l="1"/>
  <c r="I488" i="1"/>
  <c r="H488" i="1"/>
  <c r="K488" i="1" s="1"/>
  <c r="A488" i="1"/>
  <c r="J487" i="1"/>
  <c r="I487" i="1"/>
  <c r="H487" i="1"/>
  <c r="K487" i="1" s="1"/>
  <c r="A487" i="1"/>
  <c r="J486" i="1"/>
  <c r="K486" i="1" s="1"/>
  <c r="I486" i="1"/>
  <c r="H486" i="1"/>
  <c r="A486" i="1"/>
  <c r="K485" i="1"/>
  <c r="J485" i="1"/>
  <c r="I485" i="1"/>
  <c r="H485" i="1"/>
  <c r="A485" i="1"/>
  <c r="J484" i="1"/>
  <c r="I484" i="1"/>
  <c r="H484" i="1"/>
  <c r="K484" i="1" s="1"/>
  <c r="A484" i="1"/>
  <c r="J483" i="1"/>
  <c r="I483" i="1"/>
  <c r="H483" i="1"/>
  <c r="A483" i="1"/>
  <c r="J482" i="1"/>
  <c r="I482" i="1"/>
  <c r="H482" i="1"/>
  <c r="A482" i="1"/>
  <c r="J481" i="1"/>
  <c r="I481" i="1"/>
  <c r="H481" i="1"/>
  <c r="K481" i="1" s="1"/>
  <c r="A481" i="1"/>
  <c r="J480" i="1"/>
  <c r="I480" i="1"/>
  <c r="H480" i="1"/>
  <c r="K480" i="1" s="1"/>
  <c r="A480" i="1"/>
  <c r="J479" i="1"/>
  <c r="I479" i="1"/>
  <c r="K479" i="1" s="1"/>
  <c r="H479" i="1"/>
  <c r="A479" i="1"/>
  <c r="J478" i="1"/>
  <c r="K478" i="1" s="1"/>
  <c r="I478" i="1"/>
  <c r="H478" i="1"/>
  <c r="A478" i="1"/>
  <c r="J477" i="1"/>
  <c r="K477" i="1" s="1"/>
  <c r="I477" i="1"/>
  <c r="H477" i="1"/>
  <c r="A477" i="1"/>
  <c r="J476" i="1"/>
  <c r="I476" i="1"/>
  <c r="H476" i="1"/>
  <c r="K476" i="1" s="1"/>
  <c r="A476" i="1"/>
  <c r="J475" i="1"/>
  <c r="I475" i="1"/>
  <c r="H475" i="1"/>
  <c r="K475" i="1" s="1"/>
  <c r="A475" i="1"/>
  <c r="K474" i="1"/>
  <c r="J474" i="1"/>
  <c r="I474" i="1"/>
  <c r="H474" i="1"/>
  <c r="A474" i="1"/>
  <c r="K473" i="1"/>
  <c r="J473" i="1"/>
  <c r="I473" i="1"/>
  <c r="H473" i="1"/>
  <c r="A473" i="1"/>
  <c r="J472" i="1"/>
  <c r="I472" i="1"/>
  <c r="K472" i="1" s="1"/>
  <c r="H472" i="1"/>
  <c r="A472" i="1"/>
  <c r="J471" i="1"/>
  <c r="I471" i="1"/>
  <c r="K471" i="1" s="1"/>
  <c r="H471" i="1"/>
  <c r="A471" i="1"/>
  <c r="J470" i="1"/>
  <c r="I470" i="1"/>
  <c r="H470" i="1"/>
  <c r="A470" i="1"/>
  <c r="K469" i="1"/>
  <c r="J469" i="1"/>
  <c r="I469" i="1"/>
  <c r="H469" i="1"/>
  <c r="A469" i="1"/>
  <c r="J468" i="1"/>
  <c r="I468" i="1"/>
  <c r="H468" i="1"/>
  <c r="K468" i="1" s="1"/>
  <c r="A468" i="1"/>
  <c r="K467" i="1"/>
  <c r="J467" i="1"/>
  <c r="I467" i="1"/>
  <c r="H467" i="1"/>
  <c r="A467" i="1"/>
  <c r="J466" i="1"/>
  <c r="K466" i="1" s="1"/>
  <c r="I466" i="1"/>
  <c r="H466" i="1"/>
  <c r="A466" i="1"/>
  <c r="J465" i="1"/>
  <c r="I465" i="1"/>
  <c r="K465" i="1" s="1"/>
  <c r="H465" i="1"/>
  <c r="A465" i="1"/>
  <c r="J464" i="1"/>
  <c r="I464" i="1"/>
  <c r="H464" i="1"/>
  <c r="A464" i="1"/>
  <c r="J463" i="1"/>
  <c r="I463" i="1"/>
  <c r="H463" i="1"/>
  <c r="K463" i="1" s="1"/>
  <c r="A463" i="1"/>
  <c r="J462" i="1"/>
  <c r="K462" i="1" s="1"/>
  <c r="I462" i="1"/>
  <c r="H462" i="1"/>
  <c r="A462" i="1"/>
  <c r="K461" i="1"/>
  <c r="J461" i="1"/>
  <c r="I461" i="1"/>
  <c r="H461" i="1"/>
  <c r="A461" i="1"/>
  <c r="J460" i="1"/>
  <c r="I460" i="1"/>
  <c r="H460" i="1"/>
  <c r="A460" i="1"/>
  <c r="J459" i="1"/>
  <c r="I459" i="1"/>
  <c r="K459" i="1" s="1"/>
  <c r="H459" i="1"/>
  <c r="A459" i="1"/>
  <c r="J458" i="1"/>
  <c r="I458" i="1"/>
  <c r="H458" i="1"/>
  <c r="K458" i="1" s="1"/>
  <c r="A458" i="1"/>
  <c r="J457" i="1"/>
  <c r="I457" i="1"/>
  <c r="K457" i="1" s="1"/>
  <c r="H457" i="1"/>
  <c r="A457" i="1"/>
  <c r="J456" i="1"/>
  <c r="I456" i="1"/>
  <c r="H456" i="1"/>
  <c r="K456" i="1" s="1"/>
  <c r="A456" i="1"/>
  <c r="J455" i="1"/>
  <c r="I455" i="1"/>
  <c r="K455" i="1" s="1"/>
  <c r="H455" i="1"/>
  <c r="A455" i="1"/>
  <c r="K454" i="1"/>
  <c r="J454" i="1"/>
  <c r="I454" i="1"/>
  <c r="H454" i="1"/>
  <c r="A454" i="1"/>
  <c r="J453" i="1"/>
  <c r="I453" i="1"/>
  <c r="H453" i="1"/>
  <c r="K453" i="1" s="1"/>
  <c r="A453" i="1"/>
  <c r="J452" i="1"/>
  <c r="I452" i="1"/>
  <c r="H452" i="1"/>
  <c r="K452" i="1" s="1"/>
  <c r="A452" i="1"/>
  <c r="J451" i="1"/>
  <c r="I451" i="1"/>
  <c r="H451" i="1"/>
  <c r="K451" i="1" s="1"/>
  <c r="A451" i="1"/>
  <c r="J450" i="1"/>
  <c r="I450" i="1"/>
  <c r="H450" i="1"/>
  <c r="K450" i="1" s="1"/>
  <c r="A450" i="1"/>
  <c r="K449" i="1"/>
  <c r="J449" i="1"/>
  <c r="I449" i="1"/>
  <c r="H449" i="1"/>
  <c r="A449" i="1"/>
  <c r="K448" i="1"/>
  <c r="J448" i="1"/>
  <c r="I448" i="1"/>
  <c r="H448" i="1"/>
  <c r="A448" i="1"/>
  <c r="J447" i="1"/>
  <c r="I447" i="1"/>
  <c r="K447" i="1" s="1"/>
  <c r="H447" i="1"/>
  <c r="A447" i="1"/>
  <c r="J446" i="1"/>
  <c r="I446" i="1"/>
  <c r="H446" i="1"/>
  <c r="K446" i="1" s="1"/>
  <c r="A446" i="1"/>
  <c r="J445" i="1"/>
  <c r="I445" i="1"/>
  <c r="H445" i="1"/>
  <c r="K445" i="1" s="1"/>
  <c r="A445" i="1"/>
  <c r="J444" i="1"/>
  <c r="I444" i="1"/>
  <c r="H444" i="1"/>
  <c r="A444" i="1"/>
  <c r="J443" i="1"/>
  <c r="K443" i="1" s="1"/>
  <c r="I443" i="1"/>
  <c r="H443" i="1"/>
  <c r="A443" i="1"/>
  <c r="J442" i="1"/>
  <c r="K442" i="1" s="1"/>
  <c r="I442" i="1"/>
  <c r="H442" i="1"/>
  <c r="A442" i="1"/>
  <c r="J441" i="1"/>
  <c r="I441" i="1"/>
  <c r="H441" i="1"/>
  <c r="K441" i="1" s="1"/>
  <c r="A441" i="1"/>
  <c r="J440" i="1"/>
  <c r="I440" i="1"/>
  <c r="H440" i="1"/>
  <c r="K440" i="1" s="1"/>
  <c r="A440" i="1"/>
  <c r="J439" i="1"/>
  <c r="I439" i="1"/>
  <c r="H439" i="1"/>
  <c r="A439" i="1"/>
  <c r="J438" i="1"/>
  <c r="K438" i="1" s="1"/>
  <c r="I438" i="1"/>
  <c r="H438" i="1"/>
  <c r="A438" i="1"/>
  <c r="J437" i="1"/>
  <c r="I437" i="1"/>
  <c r="H437" i="1"/>
  <c r="K437" i="1" s="1"/>
  <c r="A437" i="1"/>
  <c r="K436" i="1"/>
  <c r="J436" i="1"/>
  <c r="I436" i="1"/>
  <c r="H436" i="1"/>
  <c r="A436" i="1"/>
  <c r="J435" i="1"/>
  <c r="I435" i="1"/>
  <c r="K435" i="1" s="1"/>
  <c r="H435" i="1"/>
  <c r="A435" i="1"/>
  <c r="K434" i="1"/>
  <c r="J434" i="1"/>
  <c r="I434" i="1"/>
  <c r="H434" i="1"/>
  <c r="A434" i="1"/>
  <c r="K433" i="1"/>
  <c r="J433" i="1"/>
  <c r="I433" i="1"/>
  <c r="H433" i="1"/>
  <c r="A433" i="1"/>
  <c r="J432" i="1"/>
  <c r="I432" i="1"/>
  <c r="H432" i="1"/>
  <c r="K432" i="1" s="1"/>
  <c r="A432" i="1"/>
  <c r="K431" i="1"/>
  <c r="J431" i="1"/>
  <c r="I431" i="1"/>
  <c r="H431" i="1"/>
  <c r="A431" i="1"/>
  <c r="J430" i="1"/>
  <c r="K430" i="1" s="1"/>
  <c r="I430" i="1"/>
  <c r="H430" i="1"/>
  <c r="A430" i="1"/>
  <c r="J429" i="1"/>
  <c r="K429" i="1" s="1"/>
  <c r="I429" i="1"/>
  <c r="H429" i="1"/>
  <c r="A429" i="1"/>
  <c r="J428" i="1"/>
  <c r="I428" i="1"/>
  <c r="H428" i="1"/>
  <c r="A428" i="1"/>
  <c r="J427" i="1"/>
  <c r="I427" i="1"/>
  <c r="H427" i="1"/>
  <c r="K427" i="1" s="1"/>
  <c r="A427" i="1"/>
  <c r="K426" i="1"/>
  <c r="J426" i="1"/>
  <c r="I426" i="1"/>
  <c r="H426" i="1"/>
  <c r="A426" i="1"/>
  <c r="K425" i="1"/>
  <c r="J425" i="1"/>
  <c r="I425" i="1"/>
  <c r="H425" i="1"/>
  <c r="A425" i="1"/>
  <c r="J424" i="1"/>
  <c r="I424" i="1"/>
  <c r="H424" i="1"/>
  <c r="K424" i="1" s="1"/>
  <c r="A424" i="1"/>
  <c r="J423" i="1"/>
  <c r="I423" i="1"/>
  <c r="K423" i="1" s="1"/>
  <c r="H423" i="1"/>
  <c r="A423" i="1"/>
  <c r="J422" i="1"/>
  <c r="I422" i="1"/>
  <c r="H422" i="1"/>
  <c r="K422" i="1" s="1"/>
  <c r="A422" i="1"/>
  <c r="K421" i="1"/>
  <c r="J421" i="1"/>
  <c r="I421" i="1"/>
  <c r="H421" i="1"/>
  <c r="A421" i="1"/>
  <c r="J420" i="1"/>
  <c r="I420" i="1"/>
  <c r="H420" i="1"/>
  <c r="K420" i="1" s="1"/>
  <c r="A420" i="1"/>
  <c r="J419" i="1"/>
  <c r="I419" i="1"/>
  <c r="K419" i="1" s="1"/>
  <c r="H419" i="1"/>
  <c r="A419" i="1"/>
  <c r="J418" i="1"/>
  <c r="K418" i="1" s="1"/>
  <c r="I418" i="1"/>
  <c r="H418" i="1"/>
  <c r="A418" i="1"/>
  <c r="J417" i="1"/>
  <c r="I417" i="1"/>
  <c r="H417" i="1"/>
  <c r="K417" i="1" s="1"/>
  <c r="A417" i="1"/>
  <c r="J416" i="1"/>
  <c r="I416" i="1"/>
  <c r="H416" i="1"/>
  <c r="A416" i="1"/>
  <c r="J415" i="1"/>
  <c r="I415" i="1"/>
  <c r="H415" i="1"/>
  <c r="A415" i="1"/>
  <c r="J414" i="1"/>
  <c r="I414" i="1"/>
  <c r="H414" i="1"/>
  <c r="K414" i="1" s="1"/>
  <c r="A414" i="1"/>
  <c r="J413" i="1"/>
  <c r="I413" i="1"/>
  <c r="H413" i="1"/>
  <c r="K413" i="1" s="1"/>
  <c r="A413" i="1"/>
  <c r="J412" i="1"/>
  <c r="I412" i="1"/>
  <c r="H412" i="1"/>
  <c r="K412" i="1" s="1"/>
  <c r="A412" i="1"/>
  <c r="J411" i="1"/>
  <c r="K411" i="1" s="1"/>
  <c r="I411" i="1"/>
  <c r="H411" i="1"/>
  <c r="A411" i="1"/>
  <c r="K410" i="1"/>
  <c r="J410" i="1"/>
  <c r="I410" i="1"/>
  <c r="H410" i="1"/>
  <c r="A410" i="1"/>
  <c r="J409" i="1"/>
  <c r="I409" i="1"/>
  <c r="H409" i="1"/>
  <c r="K409" i="1" s="1"/>
  <c r="A409" i="1"/>
  <c r="J408" i="1"/>
  <c r="I408" i="1"/>
  <c r="H408" i="1"/>
  <c r="K408" i="1" s="1"/>
  <c r="A408" i="1"/>
  <c r="J407" i="1"/>
  <c r="I407" i="1"/>
  <c r="K407" i="1" s="1"/>
  <c r="H407" i="1"/>
  <c r="A407" i="1"/>
  <c r="K406" i="1"/>
  <c r="J406" i="1"/>
  <c r="I406" i="1"/>
  <c r="H406" i="1"/>
  <c r="A406" i="1"/>
  <c r="K405" i="1"/>
  <c r="J405" i="1"/>
  <c r="I405" i="1"/>
  <c r="H405" i="1"/>
  <c r="A405" i="1"/>
  <c r="J404" i="1"/>
  <c r="I404" i="1"/>
  <c r="H404" i="1"/>
  <c r="A404" i="1"/>
  <c r="J403" i="1"/>
  <c r="I403" i="1"/>
  <c r="H403" i="1"/>
  <c r="K403" i="1" s="1"/>
  <c r="A403" i="1"/>
  <c r="J402" i="1"/>
  <c r="I402" i="1"/>
  <c r="H402" i="1"/>
  <c r="K402" i="1" s="1"/>
  <c r="A402" i="1"/>
  <c r="K401" i="1"/>
  <c r="J401" i="1"/>
  <c r="I401" i="1"/>
  <c r="H401" i="1"/>
  <c r="A401" i="1"/>
  <c r="J400" i="1"/>
  <c r="K400" i="1" s="1"/>
  <c r="I400" i="1"/>
  <c r="H400" i="1"/>
  <c r="A400" i="1"/>
  <c r="J399" i="1"/>
  <c r="I399" i="1"/>
  <c r="K399" i="1" s="1"/>
  <c r="H399" i="1"/>
  <c r="A399" i="1"/>
  <c r="J398" i="1"/>
  <c r="I398" i="1"/>
  <c r="H398" i="1"/>
  <c r="K398" i="1" s="1"/>
  <c r="A398" i="1"/>
  <c r="J397" i="1"/>
  <c r="I397" i="1"/>
  <c r="H397" i="1"/>
  <c r="K397" i="1" s="1"/>
  <c r="A397" i="1"/>
  <c r="J396" i="1"/>
  <c r="I396" i="1"/>
  <c r="H396" i="1"/>
  <c r="A396" i="1"/>
  <c r="J395" i="1"/>
  <c r="K395" i="1" s="1"/>
  <c r="I395" i="1"/>
  <c r="H395" i="1"/>
  <c r="A395" i="1"/>
  <c r="J394" i="1"/>
  <c r="K394" i="1" s="1"/>
  <c r="I394" i="1"/>
  <c r="H394" i="1"/>
  <c r="A394" i="1"/>
  <c r="J393" i="1"/>
  <c r="I393" i="1"/>
  <c r="H393" i="1"/>
  <c r="K393" i="1" s="1"/>
  <c r="A393" i="1"/>
  <c r="J392" i="1"/>
  <c r="I392" i="1"/>
  <c r="H392" i="1"/>
  <c r="K392" i="1" s="1"/>
  <c r="A392" i="1"/>
  <c r="J391" i="1"/>
  <c r="I391" i="1"/>
  <c r="H391" i="1"/>
  <c r="A391" i="1"/>
  <c r="J390" i="1"/>
  <c r="K390" i="1" s="1"/>
  <c r="I390" i="1"/>
  <c r="H390" i="1"/>
  <c r="A390" i="1"/>
  <c r="J389" i="1"/>
  <c r="I389" i="1"/>
  <c r="H389" i="1"/>
  <c r="K389" i="1" s="1"/>
  <c r="A389" i="1"/>
  <c r="K388" i="1"/>
  <c r="J388" i="1"/>
  <c r="I388" i="1"/>
  <c r="H388" i="1"/>
  <c r="A388" i="1"/>
  <c r="J387" i="1"/>
  <c r="I387" i="1"/>
  <c r="K387" i="1" s="1"/>
  <c r="H387" i="1"/>
  <c r="A387" i="1"/>
  <c r="J386" i="1"/>
  <c r="I386" i="1"/>
  <c r="K386" i="1" s="1"/>
  <c r="H386" i="1"/>
  <c r="A386" i="1"/>
  <c r="K385" i="1"/>
  <c r="J385" i="1"/>
  <c r="I385" i="1"/>
  <c r="H385" i="1"/>
  <c r="A385" i="1"/>
  <c r="J384" i="1"/>
  <c r="I384" i="1"/>
  <c r="H384" i="1"/>
  <c r="K384" i="1" s="1"/>
  <c r="A384" i="1"/>
  <c r="K383" i="1"/>
  <c r="J383" i="1"/>
  <c r="I383" i="1"/>
  <c r="H383" i="1"/>
  <c r="A383" i="1"/>
  <c r="J382" i="1"/>
  <c r="K382" i="1" s="1"/>
  <c r="I382" i="1"/>
  <c r="H382" i="1"/>
  <c r="A382" i="1"/>
  <c r="K381" i="1"/>
  <c r="J381" i="1"/>
  <c r="I381" i="1"/>
  <c r="H381" i="1"/>
  <c r="A381" i="1"/>
  <c r="J380" i="1"/>
  <c r="I380" i="1"/>
  <c r="H380" i="1"/>
  <c r="A380" i="1"/>
  <c r="J379" i="1"/>
  <c r="I379" i="1"/>
  <c r="H379" i="1"/>
  <c r="K379" i="1" s="1"/>
  <c r="A379" i="1"/>
  <c r="K378" i="1"/>
  <c r="J378" i="1"/>
  <c r="I378" i="1"/>
  <c r="H378" i="1"/>
  <c r="A378" i="1"/>
  <c r="K377" i="1"/>
  <c r="J377" i="1"/>
  <c r="I377" i="1"/>
  <c r="H377" i="1"/>
  <c r="A377" i="1"/>
  <c r="J376" i="1"/>
  <c r="I376" i="1"/>
  <c r="H376" i="1"/>
  <c r="A376" i="1"/>
  <c r="J375" i="1"/>
  <c r="I375" i="1"/>
  <c r="K375" i="1" s="1"/>
  <c r="H375" i="1"/>
  <c r="A375" i="1"/>
  <c r="J374" i="1"/>
  <c r="I374" i="1"/>
  <c r="H374" i="1"/>
  <c r="K374" i="1" s="1"/>
  <c r="A374" i="1"/>
  <c r="K373" i="1"/>
  <c r="J373" i="1"/>
  <c r="I373" i="1"/>
  <c r="H373" i="1"/>
  <c r="A373" i="1"/>
  <c r="J372" i="1"/>
  <c r="I372" i="1"/>
  <c r="H372" i="1"/>
  <c r="K372" i="1" s="1"/>
  <c r="A372" i="1"/>
  <c r="J371" i="1"/>
  <c r="I371" i="1"/>
  <c r="K371" i="1" s="1"/>
  <c r="H371" i="1"/>
  <c r="A371" i="1"/>
  <c r="J370" i="1"/>
  <c r="K370" i="1" s="1"/>
  <c r="I370" i="1"/>
  <c r="H370" i="1"/>
  <c r="A370" i="1"/>
  <c r="J369" i="1"/>
  <c r="I369" i="1"/>
  <c r="H369" i="1"/>
  <c r="K369" i="1" s="1"/>
  <c r="A369" i="1"/>
  <c r="J368" i="1"/>
  <c r="I368" i="1"/>
  <c r="H368" i="1"/>
  <c r="A368" i="1"/>
  <c r="J367" i="1"/>
  <c r="I367" i="1"/>
  <c r="H367" i="1"/>
  <c r="A367" i="1"/>
  <c r="J366" i="1"/>
  <c r="I366" i="1"/>
  <c r="H366" i="1"/>
  <c r="K366" i="1" s="1"/>
  <c r="A366" i="1"/>
  <c r="J365" i="1"/>
  <c r="I365" i="1"/>
  <c r="H365" i="1"/>
  <c r="K365" i="1" s="1"/>
  <c r="A365" i="1"/>
  <c r="J364" i="1"/>
  <c r="I364" i="1"/>
  <c r="H364" i="1"/>
  <c r="K364" i="1" s="1"/>
  <c r="A364" i="1"/>
  <c r="K363" i="1"/>
  <c r="J363" i="1"/>
  <c r="I363" i="1"/>
  <c r="H363" i="1"/>
  <c r="A363" i="1"/>
  <c r="K362" i="1"/>
  <c r="J362" i="1"/>
  <c r="I362" i="1"/>
  <c r="H362" i="1"/>
  <c r="A362" i="1"/>
  <c r="J361" i="1"/>
  <c r="I361" i="1"/>
  <c r="H361" i="1"/>
  <c r="K361" i="1" s="1"/>
  <c r="A361" i="1"/>
  <c r="J360" i="1"/>
  <c r="I360" i="1"/>
  <c r="H360" i="1"/>
  <c r="K360" i="1" s="1"/>
  <c r="A360" i="1"/>
  <c r="J359" i="1"/>
  <c r="I359" i="1"/>
  <c r="K359" i="1" s="1"/>
  <c r="H359" i="1"/>
  <c r="A359" i="1"/>
  <c r="J358" i="1"/>
  <c r="K358" i="1" s="1"/>
  <c r="I358" i="1"/>
  <c r="H358" i="1"/>
  <c r="A358" i="1"/>
  <c r="K357" i="1"/>
  <c r="J357" i="1"/>
  <c r="I357" i="1"/>
  <c r="H357" i="1"/>
  <c r="A357" i="1"/>
  <c r="J356" i="1"/>
  <c r="I356" i="1"/>
  <c r="H356" i="1"/>
  <c r="A356" i="1"/>
  <c r="J355" i="1"/>
  <c r="I355" i="1"/>
  <c r="H355" i="1"/>
  <c r="K355" i="1" s="1"/>
  <c r="A355" i="1"/>
  <c r="J354" i="1"/>
  <c r="I354" i="1"/>
  <c r="H354" i="1"/>
  <c r="K354" i="1" s="1"/>
  <c r="A354" i="1"/>
  <c r="K353" i="1"/>
  <c r="J353" i="1"/>
  <c r="I353" i="1"/>
  <c r="H353" i="1"/>
  <c r="A353" i="1"/>
  <c r="J352" i="1"/>
  <c r="K352" i="1" s="1"/>
  <c r="I352" i="1"/>
  <c r="H352" i="1"/>
  <c r="A352" i="1"/>
  <c r="J351" i="1"/>
  <c r="I351" i="1"/>
  <c r="K351" i="1" s="1"/>
  <c r="H351" i="1"/>
  <c r="A351" i="1"/>
  <c r="J350" i="1"/>
  <c r="I350" i="1"/>
  <c r="H350" i="1"/>
  <c r="K350" i="1" s="1"/>
  <c r="A350" i="1"/>
  <c r="J349" i="1"/>
  <c r="I349" i="1"/>
  <c r="H349" i="1"/>
  <c r="K349" i="1" s="1"/>
  <c r="A349" i="1"/>
  <c r="J348" i="1"/>
  <c r="I348" i="1"/>
  <c r="H348" i="1"/>
  <c r="A348" i="1"/>
  <c r="J347" i="1"/>
  <c r="K347" i="1" s="1"/>
  <c r="I347" i="1"/>
  <c r="H347" i="1"/>
  <c r="A347" i="1"/>
  <c r="J346" i="1"/>
  <c r="K346" i="1" s="1"/>
  <c r="I346" i="1"/>
  <c r="H346" i="1"/>
  <c r="A346" i="1"/>
  <c r="J345" i="1"/>
  <c r="I345" i="1"/>
  <c r="H345" i="1"/>
  <c r="K345" i="1" s="1"/>
  <c r="A345" i="1"/>
  <c r="J344" i="1"/>
  <c r="I344" i="1"/>
  <c r="H344" i="1"/>
  <c r="K344" i="1" s="1"/>
  <c r="A344" i="1"/>
  <c r="J343" i="1"/>
  <c r="I343" i="1"/>
  <c r="H343" i="1"/>
  <c r="K343" i="1" s="1"/>
  <c r="A343" i="1"/>
  <c r="J342" i="1"/>
  <c r="K342" i="1" s="1"/>
  <c r="I342" i="1"/>
  <c r="H342" i="1"/>
  <c r="A342" i="1"/>
  <c r="J341" i="1"/>
  <c r="I341" i="1"/>
  <c r="H341" i="1"/>
  <c r="K341" i="1" s="1"/>
  <c r="A341" i="1"/>
  <c r="K340" i="1"/>
  <c r="J340" i="1"/>
  <c r="I340" i="1"/>
  <c r="H340" i="1"/>
  <c r="A340" i="1"/>
  <c r="J339" i="1"/>
  <c r="I339" i="1"/>
  <c r="K339" i="1" s="1"/>
  <c r="H339" i="1"/>
  <c r="A339" i="1"/>
  <c r="J338" i="1"/>
  <c r="I338" i="1"/>
  <c r="K338" i="1" s="1"/>
  <c r="H338" i="1"/>
  <c r="A338" i="1"/>
  <c r="K337" i="1"/>
  <c r="J337" i="1"/>
  <c r="I337" i="1"/>
  <c r="H337" i="1"/>
  <c r="A337" i="1"/>
  <c r="J336" i="1"/>
  <c r="I336" i="1"/>
  <c r="H336" i="1"/>
  <c r="K336" i="1" s="1"/>
  <c r="A336" i="1"/>
  <c r="K335" i="1"/>
  <c r="J335" i="1"/>
  <c r="I335" i="1"/>
  <c r="H335" i="1"/>
  <c r="A335" i="1"/>
  <c r="J334" i="1"/>
  <c r="K334" i="1" s="1"/>
  <c r="I334" i="1"/>
  <c r="H334" i="1"/>
  <c r="A334" i="1"/>
  <c r="J333" i="1"/>
  <c r="I333" i="1"/>
  <c r="K333" i="1" s="1"/>
  <c r="H333" i="1"/>
  <c r="A333" i="1"/>
  <c r="J332" i="1"/>
  <c r="I332" i="1"/>
  <c r="H332" i="1"/>
  <c r="A332" i="1"/>
  <c r="J331" i="1"/>
  <c r="I331" i="1"/>
  <c r="H331" i="1"/>
  <c r="K331" i="1" s="1"/>
  <c r="A331" i="1"/>
  <c r="J330" i="1"/>
  <c r="K330" i="1" s="1"/>
  <c r="I330" i="1"/>
  <c r="H330" i="1"/>
  <c r="A330" i="1"/>
  <c r="K329" i="1"/>
  <c r="J329" i="1"/>
  <c r="I329" i="1"/>
  <c r="H329" i="1"/>
  <c r="A329" i="1"/>
  <c r="J328" i="1"/>
  <c r="I328" i="1"/>
  <c r="H328" i="1"/>
  <c r="A328" i="1"/>
  <c r="J327" i="1"/>
  <c r="I327" i="1"/>
  <c r="K327" i="1" s="1"/>
  <c r="H327" i="1"/>
  <c r="A327" i="1"/>
  <c r="J326" i="1"/>
  <c r="I326" i="1"/>
  <c r="H326" i="1"/>
  <c r="K326" i="1" s="1"/>
  <c r="A326" i="1"/>
  <c r="K325" i="1"/>
  <c r="J325" i="1"/>
  <c r="I325" i="1"/>
  <c r="H325" i="1"/>
  <c r="A325" i="1"/>
  <c r="J324" i="1"/>
  <c r="I324" i="1"/>
  <c r="H324" i="1"/>
  <c r="K324" i="1" s="1"/>
  <c r="A324" i="1"/>
  <c r="J323" i="1"/>
  <c r="I323" i="1"/>
  <c r="K323" i="1" s="1"/>
  <c r="H323" i="1"/>
  <c r="A323" i="1"/>
  <c r="J322" i="1"/>
  <c r="K322" i="1" s="1"/>
  <c r="I322" i="1"/>
  <c r="H322" i="1"/>
  <c r="A322" i="1"/>
  <c r="J321" i="1"/>
  <c r="I321" i="1"/>
  <c r="H321" i="1"/>
  <c r="K321" i="1" s="1"/>
  <c r="A321" i="1"/>
  <c r="J320" i="1"/>
  <c r="I320" i="1"/>
  <c r="H320" i="1"/>
  <c r="A320" i="1"/>
  <c r="J319" i="1"/>
  <c r="I319" i="1"/>
  <c r="H319" i="1"/>
  <c r="A319" i="1"/>
  <c r="J318" i="1"/>
  <c r="I318" i="1"/>
  <c r="H318" i="1"/>
  <c r="K318" i="1" s="1"/>
  <c r="A318" i="1"/>
  <c r="J317" i="1"/>
  <c r="I317" i="1"/>
  <c r="H317" i="1"/>
  <c r="K317" i="1" s="1"/>
  <c r="A317" i="1"/>
  <c r="J316" i="1"/>
  <c r="I316" i="1"/>
  <c r="H316" i="1"/>
  <c r="K316" i="1" s="1"/>
  <c r="A316" i="1"/>
  <c r="J315" i="1"/>
  <c r="K315" i="1" s="1"/>
  <c r="I315" i="1"/>
  <c r="H315" i="1"/>
  <c r="A315" i="1"/>
  <c r="K314" i="1"/>
  <c r="J314" i="1"/>
  <c r="I314" i="1"/>
  <c r="H314" i="1"/>
  <c r="A314" i="1"/>
  <c r="J313" i="1"/>
  <c r="I313" i="1"/>
  <c r="H313" i="1"/>
  <c r="A313" i="1"/>
  <c r="J312" i="1"/>
  <c r="I312" i="1"/>
  <c r="H312" i="1"/>
  <c r="K312" i="1" s="1"/>
  <c r="A312" i="1"/>
  <c r="J311" i="1"/>
  <c r="I311" i="1"/>
  <c r="K311" i="1" s="1"/>
  <c r="H311" i="1"/>
  <c r="A311" i="1"/>
  <c r="J310" i="1"/>
  <c r="K310" i="1" s="1"/>
  <c r="I310" i="1"/>
  <c r="H310" i="1"/>
  <c r="A310" i="1"/>
  <c r="K309" i="1"/>
  <c r="J309" i="1"/>
  <c r="I309" i="1"/>
  <c r="H309" i="1"/>
  <c r="A309" i="1"/>
  <c r="J308" i="1"/>
  <c r="I308" i="1"/>
  <c r="H308" i="1"/>
  <c r="K308" i="1" s="1"/>
  <c r="A308" i="1"/>
  <c r="J307" i="1"/>
  <c r="I307" i="1"/>
  <c r="H307" i="1"/>
  <c r="K307" i="1" s="1"/>
  <c r="A307" i="1"/>
  <c r="J306" i="1"/>
  <c r="I306" i="1"/>
  <c r="H306" i="1"/>
  <c r="K306" i="1" s="1"/>
  <c r="A306" i="1"/>
  <c r="K305" i="1"/>
  <c r="J305" i="1"/>
  <c r="I305" i="1"/>
  <c r="H305" i="1"/>
  <c r="A305" i="1"/>
  <c r="J304" i="1"/>
  <c r="K304" i="1" s="1"/>
  <c r="I304" i="1"/>
  <c r="H304" i="1"/>
  <c r="A304" i="1"/>
  <c r="J303" i="1"/>
  <c r="I303" i="1"/>
  <c r="K303" i="1" s="1"/>
  <c r="H303" i="1"/>
  <c r="A303" i="1"/>
  <c r="J302" i="1"/>
  <c r="I302" i="1"/>
  <c r="H302" i="1"/>
  <c r="K302" i="1" s="1"/>
  <c r="A302" i="1"/>
  <c r="J301" i="1"/>
  <c r="I301" i="1"/>
  <c r="H301" i="1"/>
  <c r="K301" i="1" s="1"/>
  <c r="A301" i="1"/>
  <c r="J300" i="1"/>
  <c r="I300" i="1"/>
  <c r="H300" i="1"/>
  <c r="A300" i="1"/>
  <c r="J299" i="1"/>
  <c r="K299" i="1" s="1"/>
  <c r="I299" i="1"/>
  <c r="H299" i="1"/>
  <c r="A299" i="1"/>
  <c r="J298" i="1"/>
  <c r="K298" i="1" s="1"/>
  <c r="I298" i="1"/>
  <c r="H298" i="1"/>
  <c r="A298" i="1"/>
  <c r="J297" i="1"/>
  <c r="I297" i="1"/>
  <c r="H297" i="1"/>
  <c r="K297" i="1" s="1"/>
  <c r="A297" i="1"/>
  <c r="J296" i="1"/>
  <c r="I296" i="1"/>
  <c r="H296" i="1"/>
  <c r="K296" i="1" s="1"/>
  <c r="A296" i="1"/>
  <c r="J295" i="1"/>
  <c r="I295" i="1"/>
  <c r="H295" i="1"/>
  <c r="K295" i="1" s="1"/>
  <c r="A295" i="1"/>
  <c r="J294" i="1"/>
  <c r="K294" i="1" s="1"/>
  <c r="I294" i="1"/>
  <c r="H294" i="1"/>
  <c r="A294" i="1"/>
  <c r="J293" i="1"/>
  <c r="I293" i="1"/>
  <c r="H293" i="1"/>
  <c r="K293" i="1" s="1"/>
  <c r="A293" i="1"/>
  <c r="K292" i="1"/>
  <c r="J292" i="1"/>
  <c r="I292" i="1"/>
  <c r="H292" i="1"/>
  <c r="A292" i="1"/>
  <c r="J291" i="1"/>
  <c r="I291" i="1"/>
  <c r="K291" i="1" s="1"/>
  <c r="H291" i="1"/>
  <c r="A291" i="1"/>
  <c r="J290" i="1"/>
  <c r="K290" i="1" s="1"/>
  <c r="I290" i="1"/>
  <c r="H290" i="1"/>
  <c r="A290" i="1"/>
  <c r="K289" i="1"/>
  <c r="J289" i="1"/>
  <c r="I289" i="1"/>
  <c r="H289" i="1"/>
  <c r="A289" i="1"/>
  <c r="J288" i="1"/>
  <c r="I288" i="1"/>
  <c r="H288" i="1"/>
  <c r="K288" i="1" s="1"/>
  <c r="A288" i="1"/>
  <c r="K287" i="1"/>
  <c r="J287" i="1"/>
  <c r="I287" i="1"/>
  <c r="H287" i="1"/>
  <c r="A287" i="1"/>
  <c r="J286" i="1"/>
  <c r="K286" i="1" s="1"/>
  <c r="I286" i="1"/>
  <c r="H286" i="1"/>
  <c r="A286" i="1"/>
  <c r="J285" i="1"/>
  <c r="I285" i="1"/>
  <c r="K285" i="1" s="1"/>
  <c r="H285" i="1"/>
  <c r="A285" i="1"/>
  <c r="J284" i="1"/>
  <c r="I284" i="1"/>
  <c r="H284" i="1"/>
  <c r="A284" i="1"/>
  <c r="J283" i="1"/>
  <c r="I283" i="1"/>
  <c r="H283" i="1"/>
  <c r="K283" i="1" s="1"/>
  <c r="A283" i="1"/>
  <c r="J282" i="1"/>
  <c r="K282" i="1" s="1"/>
  <c r="I282" i="1"/>
  <c r="H282" i="1"/>
  <c r="A282" i="1"/>
  <c r="K281" i="1"/>
  <c r="J281" i="1"/>
  <c r="I281" i="1"/>
  <c r="H281" i="1"/>
  <c r="A281" i="1"/>
  <c r="J280" i="1"/>
  <c r="I280" i="1"/>
  <c r="H280" i="1"/>
  <c r="K280" i="1" s="1"/>
  <c r="A280" i="1"/>
  <c r="J279" i="1"/>
  <c r="I279" i="1"/>
  <c r="K279" i="1" s="1"/>
  <c r="H279" i="1"/>
  <c r="A279" i="1"/>
  <c r="J278" i="1"/>
  <c r="I278" i="1"/>
  <c r="H278" i="1"/>
  <c r="K278" i="1" s="1"/>
  <c r="A278" i="1"/>
  <c r="K277" i="1"/>
  <c r="J277" i="1"/>
  <c r="I277" i="1"/>
  <c r="H277" i="1"/>
  <c r="A277" i="1"/>
  <c r="J276" i="1"/>
  <c r="I276" i="1"/>
  <c r="H276" i="1"/>
  <c r="K276" i="1" s="1"/>
  <c r="A276" i="1"/>
  <c r="J275" i="1"/>
  <c r="I275" i="1"/>
  <c r="K275" i="1" s="1"/>
  <c r="H275" i="1"/>
  <c r="A275" i="1"/>
  <c r="J274" i="1"/>
  <c r="K274" i="1" s="1"/>
  <c r="I274" i="1"/>
  <c r="H274" i="1"/>
  <c r="A274" i="1"/>
  <c r="J273" i="1"/>
  <c r="I273" i="1"/>
  <c r="H273" i="1"/>
  <c r="K273" i="1" s="1"/>
  <c r="A273" i="1"/>
  <c r="J272" i="1"/>
  <c r="I272" i="1"/>
  <c r="H272" i="1"/>
  <c r="A272" i="1"/>
  <c r="J271" i="1"/>
  <c r="I271" i="1"/>
  <c r="H271" i="1"/>
  <c r="A271" i="1"/>
  <c r="J270" i="1"/>
  <c r="I270" i="1"/>
  <c r="H270" i="1"/>
  <c r="K270" i="1" s="1"/>
  <c r="A270" i="1"/>
  <c r="J269" i="1"/>
  <c r="I269" i="1"/>
  <c r="H269" i="1"/>
  <c r="K269" i="1" s="1"/>
  <c r="A269" i="1"/>
  <c r="J268" i="1"/>
  <c r="I268" i="1"/>
  <c r="H268" i="1"/>
  <c r="K268" i="1" s="1"/>
  <c r="A268" i="1"/>
  <c r="J267" i="1"/>
  <c r="K267" i="1" s="1"/>
  <c r="I267" i="1"/>
  <c r="H267" i="1"/>
  <c r="A267" i="1"/>
  <c r="K266" i="1"/>
  <c r="J266" i="1"/>
  <c r="I266" i="1"/>
  <c r="H266" i="1"/>
  <c r="A266" i="1"/>
  <c r="J265" i="1"/>
  <c r="I265" i="1"/>
  <c r="H265" i="1"/>
  <c r="K265" i="1" s="1"/>
  <c r="A265" i="1"/>
  <c r="J264" i="1"/>
  <c r="I264" i="1"/>
  <c r="H264" i="1"/>
  <c r="K264" i="1" s="1"/>
  <c r="A264" i="1"/>
  <c r="J263" i="1"/>
  <c r="I263" i="1"/>
  <c r="K263" i="1" s="1"/>
  <c r="H263" i="1"/>
  <c r="A263" i="1"/>
  <c r="K262" i="1"/>
  <c r="J262" i="1"/>
  <c r="I262" i="1"/>
  <c r="H262" i="1"/>
  <c r="A262" i="1"/>
  <c r="K261" i="1"/>
  <c r="J261" i="1"/>
  <c r="I261" i="1"/>
  <c r="H261" i="1"/>
  <c r="A261" i="1"/>
  <c r="J260" i="1"/>
  <c r="I260" i="1"/>
  <c r="H260" i="1"/>
  <c r="K260" i="1" s="1"/>
  <c r="A260" i="1"/>
  <c r="J259" i="1"/>
  <c r="I259" i="1"/>
  <c r="H259" i="1"/>
  <c r="K259" i="1" s="1"/>
  <c r="A259" i="1"/>
  <c r="J258" i="1"/>
  <c r="I258" i="1"/>
  <c r="H258" i="1"/>
  <c r="K258" i="1" s="1"/>
  <c r="A258" i="1"/>
  <c r="K257" i="1"/>
  <c r="J257" i="1"/>
  <c r="I257" i="1"/>
  <c r="H257" i="1"/>
  <c r="A257" i="1"/>
  <c r="J256" i="1"/>
  <c r="K256" i="1" s="1"/>
  <c r="I256" i="1"/>
  <c r="H256" i="1"/>
  <c r="A256" i="1"/>
  <c r="J255" i="1"/>
  <c r="I255" i="1"/>
  <c r="K255" i="1" s="1"/>
  <c r="H255" i="1"/>
  <c r="A255" i="1"/>
  <c r="J254" i="1"/>
  <c r="I254" i="1"/>
  <c r="H254" i="1"/>
  <c r="K254" i="1" s="1"/>
  <c r="A254" i="1"/>
  <c r="J253" i="1"/>
  <c r="I253" i="1"/>
  <c r="H253" i="1"/>
  <c r="K253" i="1" s="1"/>
  <c r="A253" i="1"/>
  <c r="J252" i="1"/>
  <c r="I252" i="1"/>
  <c r="H252" i="1"/>
  <c r="A252" i="1"/>
  <c r="J251" i="1"/>
  <c r="K251" i="1" s="1"/>
  <c r="I251" i="1"/>
  <c r="H251" i="1"/>
  <c r="A251" i="1"/>
  <c r="J250" i="1"/>
  <c r="K250" i="1" s="1"/>
  <c r="I250" i="1"/>
  <c r="H250" i="1"/>
  <c r="A250" i="1"/>
  <c r="J249" i="1"/>
  <c r="I249" i="1"/>
  <c r="H249" i="1"/>
  <c r="K249" i="1" s="1"/>
  <c r="A249" i="1"/>
  <c r="J248" i="1"/>
  <c r="I248" i="1"/>
  <c r="H248" i="1"/>
  <c r="K248" i="1" s="1"/>
  <c r="A248" i="1"/>
  <c r="J247" i="1"/>
  <c r="I247" i="1"/>
  <c r="H247" i="1"/>
  <c r="K247" i="1" s="1"/>
  <c r="A247" i="1"/>
  <c r="J246" i="1"/>
  <c r="K246" i="1" s="1"/>
  <c r="I246" i="1"/>
  <c r="H246" i="1"/>
  <c r="A246" i="1"/>
  <c r="J245" i="1"/>
  <c r="I245" i="1"/>
  <c r="H245" i="1"/>
  <c r="K245" i="1" s="1"/>
  <c r="A245" i="1"/>
  <c r="K244" i="1"/>
  <c r="J244" i="1"/>
  <c r="I244" i="1"/>
  <c r="H244" i="1"/>
  <c r="A244" i="1"/>
  <c r="J243" i="1"/>
  <c r="I243" i="1"/>
  <c r="K243" i="1" s="1"/>
  <c r="H243" i="1"/>
  <c r="A243" i="1"/>
  <c r="K242" i="1"/>
  <c r="J242" i="1"/>
  <c r="I242" i="1"/>
  <c r="H242" i="1"/>
  <c r="A242" i="1"/>
  <c r="K241" i="1"/>
  <c r="J241" i="1"/>
  <c r="I241" i="1"/>
  <c r="H241" i="1"/>
  <c r="A241" i="1"/>
  <c r="J240" i="1"/>
  <c r="I240" i="1"/>
  <c r="H240" i="1"/>
  <c r="K240" i="1" s="1"/>
  <c r="A240" i="1"/>
  <c r="K239" i="1"/>
  <c r="J239" i="1"/>
  <c r="I239" i="1"/>
  <c r="H239" i="1"/>
  <c r="A239" i="1"/>
  <c r="J238" i="1"/>
  <c r="K238" i="1" s="1"/>
  <c r="I238" i="1"/>
  <c r="H238" i="1"/>
  <c r="A238" i="1"/>
  <c r="J237" i="1"/>
  <c r="K237" i="1" s="1"/>
  <c r="I237" i="1"/>
  <c r="H237" i="1"/>
  <c r="A237" i="1"/>
  <c r="J236" i="1"/>
  <c r="I236" i="1"/>
  <c r="H236" i="1"/>
  <c r="A236" i="1"/>
  <c r="J235" i="1"/>
  <c r="I235" i="1"/>
  <c r="H235" i="1"/>
  <c r="K235" i="1" s="1"/>
  <c r="A235" i="1"/>
  <c r="K234" i="1"/>
  <c r="J234" i="1"/>
  <c r="I234" i="1"/>
  <c r="H234" i="1"/>
  <c r="A234" i="1"/>
  <c r="K233" i="1"/>
  <c r="J233" i="1"/>
  <c r="I233" i="1"/>
  <c r="H233" i="1"/>
  <c r="A233" i="1"/>
  <c r="J232" i="1"/>
  <c r="I232" i="1"/>
  <c r="H232" i="1"/>
  <c r="K232" i="1" s="1"/>
  <c r="A232" i="1"/>
  <c r="J231" i="1"/>
  <c r="I231" i="1"/>
  <c r="K231" i="1" s="1"/>
  <c r="H231" i="1"/>
  <c r="A231" i="1"/>
  <c r="J230" i="1"/>
  <c r="I230" i="1"/>
  <c r="H230" i="1"/>
  <c r="K230" i="1" s="1"/>
  <c r="A230" i="1"/>
  <c r="K229" i="1"/>
  <c r="J229" i="1"/>
  <c r="I229" i="1"/>
  <c r="H229" i="1"/>
  <c r="A229" i="1"/>
  <c r="J228" i="1"/>
  <c r="I228" i="1"/>
  <c r="H228" i="1"/>
  <c r="K228" i="1" s="1"/>
  <c r="A228" i="1"/>
  <c r="J227" i="1"/>
  <c r="I227" i="1"/>
  <c r="K227" i="1" s="1"/>
  <c r="H227" i="1"/>
  <c r="A227" i="1"/>
  <c r="J226" i="1"/>
  <c r="K226" i="1" s="1"/>
  <c r="I226" i="1"/>
  <c r="H226" i="1"/>
  <c r="A226" i="1"/>
  <c r="J225" i="1"/>
  <c r="I225" i="1"/>
  <c r="H225" i="1"/>
  <c r="K225" i="1" s="1"/>
  <c r="A225" i="1"/>
  <c r="J224" i="1"/>
  <c r="I224" i="1"/>
  <c r="H224" i="1"/>
  <c r="A224" i="1"/>
  <c r="J223" i="1"/>
  <c r="I223" i="1"/>
  <c r="H223" i="1"/>
  <c r="A223" i="1"/>
  <c r="J222" i="1"/>
  <c r="I222" i="1"/>
  <c r="H222" i="1"/>
  <c r="K222" i="1" s="1"/>
  <c r="A222" i="1"/>
  <c r="J221" i="1"/>
  <c r="I221" i="1"/>
  <c r="H221" i="1"/>
  <c r="K221" i="1" s="1"/>
  <c r="A221" i="1"/>
  <c r="J220" i="1"/>
  <c r="I220" i="1"/>
  <c r="H220" i="1"/>
  <c r="K220" i="1" s="1"/>
  <c r="A220" i="1"/>
  <c r="J219" i="1"/>
  <c r="K219" i="1" s="1"/>
  <c r="I219" i="1"/>
  <c r="H219" i="1"/>
  <c r="A219" i="1"/>
  <c r="K218" i="1"/>
  <c r="J218" i="1"/>
  <c r="I218" i="1"/>
  <c r="H218" i="1"/>
  <c r="A218" i="1"/>
  <c r="J217" i="1"/>
  <c r="I217" i="1"/>
  <c r="H217" i="1"/>
  <c r="K217" i="1" s="1"/>
  <c r="A217" i="1"/>
  <c r="J216" i="1"/>
  <c r="I216" i="1"/>
  <c r="H216" i="1"/>
  <c r="K216" i="1" s="1"/>
  <c r="A216" i="1"/>
  <c r="J215" i="1"/>
  <c r="I215" i="1"/>
  <c r="K215" i="1" s="1"/>
  <c r="H215" i="1"/>
  <c r="A215" i="1"/>
  <c r="J214" i="1"/>
  <c r="K214" i="1" s="1"/>
  <c r="I214" i="1"/>
  <c r="H214" i="1"/>
  <c r="A214" i="1"/>
  <c r="K213" i="1"/>
  <c r="J213" i="1"/>
  <c r="I213" i="1"/>
  <c r="H213" i="1"/>
  <c r="A213" i="1"/>
  <c r="J212" i="1"/>
  <c r="I212" i="1"/>
  <c r="H212" i="1"/>
  <c r="A212" i="1"/>
  <c r="J211" i="1"/>
  <c r="I211" i="1"/>
  <c r="H211" i="1"/>
  <c r="K211" i="1" s="1"/>
  <c r="A211" i="1"/>
  <c r="J210" i="1"/>
  <c r="I210" i="1"/>
  <c r="H210" i="1"/>
  <c r="K210" i="1" s="1"/>
  <c r="A210" i="1"/>
  <c r="K209" i="1"/>
  <c r="J209" i="1"/>
  <c r="I209" i="1"/>
  <c r="H209" i="1"/>
  <c r="A209" i="1"/>
  <c r="J208" i="1"/>
  <c r="K208" i="1" s="1"/>
  <c r="I208" i="1"/>
  <c r="H208" i="1"/>
  <c r="A208" i="1"/>
  <c r="J207" i="1"/>
  <c r="I207" i="1"/>
  <c r="K207" i="1" s="1"/>
  <c r="H207" i="1"/>
  <c r="A207" i="1"/>
  <c r="J206" i="1"/>
  <c r="I206" i="1"/>
  <c r="H206" i="1"/>
  <c r="K206" i="1" s="1"/>
  <c r="A206" i="1"/>
  <c r="J205" i="1"/>
  <c r="I205" i="1"/>
  <c r="H205" i="1"/>
  <c r="K205" i="1" s="1"/>
  <c r="A205" i="1"/>
  <c r="J204" i="1"/>
  <c r="I204" i="1"/>
  <c r="H204" i="1"/>
  <c r="A204" i="1"/>
  <c r="J203" i="1"/>
  <c r="K203" i="1" s="1"/>
  <c r="I203" i="1"/>
  <c r="H203" i="1"/>
  <c r="A203" i="1"/>
  <c r="J202" i="1"/>
  <c r="K202" i="1" s="1"/>
  <c r="I202" i="1"/>
  <c r="H202" i="1"/>
  <c r="A202" i="1"/>
  <c r="J201" i="1"/>
  <c r="I201" i="1"/>
  <c r="H201" i="1"/>
  <c r="K201" i="1" s="1"/>
  <c r="A201" i="1"/>
  <c r="J200" i="1"/>
  <c r="I200" i="1"/>
  <c r="H200" i="1"/>
  <c r="K200" i="1" s="1"/>
  <c r="A200" i="1"/>
  <c r="J199" i="1"/>
  <c r="I199" i="1"/>
  <c r="H199" i="1"/>
  <c r="K199" i="1" s="1"/>
  <c r="A199" i="1"/>
  <c r="J198" i="1"/>
  <c r="K198" i="1" s="1"/>
  <c r="I198" i="1"/>
  <c r="H198" i="1"/>
  <c r="A198" i="1"/>
  <c r="J197" i="1"/>
  <c r="I197" i="1"/>
  <c r="H197" i="1"/>
  <c r="K197" i="1" s="1"/>
  <c r="A197" i="1"/>
  <c r="K196" i="1"/>
  <c r="J196" i="1"/>
  <c r="I196" i="1"/>
  <c r="H196" i="1"/>
  <c r="A196" i="1"/>
  <c r="J195" i="1"/>
  <c r="I195" i="1"/>
  <c r="K195" i="1" s="1"/>
  <c r="H195" i="1"/>
  <c r="A195" i="1"/>
  <c r="J194" i="1"/>
  <c r="I194" i="1"/>
  <c r="K194" i="1" s="1"/>
  <c r="H194" i="1"/>
  <c r="A194" i="1"/>
  <c r="K193" i="1"/>
  <c r="J193" i="1"/>
  <c r="I193" i="1"/>
  <c r="H193" i="1"/>
  <c r="A193" i="1"/>
  <c r="J192" i="1"/>
  <c r="I192" i="1"/>
  <c r="H192" i="1"/>
  <c r="K192" i="1" s="1"/>
  <c r="A192" i="1"/>
  <c r="K191" i="1"/>
  <c r="J191" i="1"/>
  <c r="I191" i="1"/>
  <c r="H191" i="1"/>
  <c r="A191" i="1"/>
  <c r="J190" i="1"/>
  <c r="K190" i="1" s="1"/>
  <c r="I190" i="1"/>
  <c r="H190" i="1"/>
  <c r="A190" i="1"/>
  <c r="K189" i="1"/>
  <c r="J189" i="1"/>
  <c r="I189" i="1"/>
  <c r="H189" i="1"/>
  <c r="A189" i="1"/>
  <c r="J188" i="1"/>
  <c r="I188" i="1"/>
  <c r="H188" i="1"/>
  <c r="A188" i="1"/>
  <c r="J187" i="1"/>
  <c r="I187" i="1"/>
  <c r="H187" i="1"/>
  <c r="K187" i="1" s="1"/>
  <c r="A187" i="1"/>
  <c r="J186" i="1"/>
  <c r="K186" i="1" s="1"/>
  <c r="I186" i="1"/>
  <c r="H186" i="1"/>
  <c r="A186" i="1"/>
  <c r="K185" i="1"/>
  <c r="J185" i="1"/>
  <c r="I185" i="1"/>
  <c r="H185" i="1"/>
  <c r="A185" i="1"/>
  <c r="J184" i="1"/>
  <c r="I184" i="1"/>
  <c r="H184" i="1"/>
  <c r="A184" i="1"/>
  <c r="J183" i="1"/>
  <c r="I183" i="1"/>
  <c r="K183" i="1" s="1"/>
  <c r="H183" i="1"/>
  <c r="A183" i="1"/>
  <c r="J182" i="1"/>
  <c r="I182" i="1"/>
  <c r="H182" i="1"/>
  <c r="K182" i="1" s="1"/>
  <c r="A182" i="1"/>
  <c r="K181" i="1"/>
  <c r="J181" i="1"/>
  <c r="I181" i="1"/>
  <c r="H181" i="1"/>
  <c r="A181" i="1"/>
  <c r="J180" i="1"/>
  <c r="I180" i="1"/>
  <c r="H180" i="1"/>
  <c r="K180" i="1" s="1"/>
  <c r="A180" i="1"/>
  <c r="J179" i="1"/>
  <c r="I179" i="1"/>
  <c r="H179" i="1"/>
  <c r="A179" i="1"/>
  <c r="J178" i="1"/>
  <c r="K178" i="1" s="1"/>
  <c r="I178" i="1"/>
  <c r="H178" i="1"/>
  <c r="A178" i="1"/>
  <c r="J177" i="1"/>
  <c r="I177" i="1"/>
  <c r="H177" i="1"/>
  <c r="K177" i="1" s="1"/>
  <c r="A177" i="1"/>
  <c r="J176" i="1"/>
  <c r="I176" i="1"/>
  <c r="H176" i="1"/>
  <c r="A176" i="1"/>
  <c r="J175" i="1"/>
  <c r="I175" i="1"/>
  <c r="H175" i="1"/>
  <c r="A175" i="1"/>
  <c r="J174" i="1"/>
  <c r="I174" i="1"/>
  <c r="H174" i="1"/>
  <c r="K174" i="1" s="1"/>
  <c r="A174" i="1"/>
  <c r="J173" i="1"/>
  <c r="I173" i="1"/>
  <c r="H173" i="1"/>
  <c r="K173" i="1" s="1"/>
  <c r="A173" i="1"/>
  <c r="J172" i="1"/>
  <c r="I172" i="1"/>
  <c r="H172" i="1"/>
  <c r="K172" i="1" s="1"/>
  <c r="A172" i="1"/>
  <c r="J171" i="1"/>
  <c r="K171" i="1" s="1"/>
  <c r="I171" i="1"/>
  <c r="H171" i="1"/>
  <c r="A171" i="1"/>
  <c r="K170" i="1"/>
  <c r="J170" i="1"/>
  <c r="I170" i="1"/>
  <c r="H170" i="1"/>
  <c r="A170" i="1"/>
  <c r="J169" i="1"/>
  <c r="I169" i="1"/>
  <c r="H169" i="1"/>
  <c r="K169" i="1" s="1"/>
  <c r="A169" i="1"/>
  <c r="J168" i="1"/>
  <c r="I168" i="1"/>
  <c r="H168" i="1"/>
  <c r="K168" i="1" s="1"/>
  <c r="A168" i="1"/>
  <c r="J167" i="1"/>
  <c r="I167" i="1"/>
  <c r="K167" i="1" s="1"/>
  <c r="H167" i="1"/>
  <c r="A167" i="1"/>
  <c r="J166" i="1"/>
  <c r="K166" i="1" s="1"/>
  <c r="I166" i="1"/>
  <c r="H166" i="1"/>
  <c r="A166" i="1"/>
  <c r="K165" i="1"/>
  <c r="J165" i="1"/>
  <c r="I165" i="1"/>
  <c r="H165" i="1"/>
  <c r="A165" i="1"/>
  <c r="J164" i="1"/>
  <c r="I164" i="1"/>
  <c r="H164" i="1"/>
  <c r="K164" i="1" s="1"/>
  <c r="A164" i="1"/>
  <c r="J163" i="1"/>
  <c r="I163" i="1"/>
  <c r="H163" i="1"/>
  <c r="K163" i="1" s="1"/>
  <c r="A163" i="1"/>
  <c r="J162" i="1"/>
  <c r="I162" i="1"/>
  <c r="H162" i="1"/>
  <c r="K162" i="1" s="1"/>
  <c r="A162" i="1"/>
  <c r="K161" i="1"/>
  <c r="J161" i="1"/>
  <c r="I161" i="1"/>
  <c r="H161" i="1"/>
  <c r="A161" i="1"/>
  <c r="J160" i="1"/>
  <c r="K160" i="1" s="1"/>
  <c r="I160" i="1"/>
  <c r="H160" i="1"/>
  <c r="A160" i="1"/>
  <c r="J159" i="1"/>
  <c r="I159" i="1"/>
  <c r="K159" i="1" s="1"/>
  <c r="H159" i="1"/>
  <c r="A159" i="1"/>
  <c r="J158" i="1"/>
  <c r="I158" i="1"/>
  <c r="H158" i="1"/>
  <c r="K158" i="1" s="1"/>
  <c r="A158" i="1"/>
  <c r="J157" i="1"/>
  <c r="I157" i="1"/>
  <c r="H157" i="1"/>
  <c r="K157" i="1" s="1"/>
  <c r="A157" i="1"/>
  <c r="J156" i="1"/>
  <c r="I156" i="1"/>
  <c r="H156" i="1"/>
  <c r="A156" i="1"/>
  <c r="J155" i="1"/>
  <c r="K155" i="1" s="1"/>
  <c r="I155" i="1"/>
  <c r="H155" i="1"/>
  <c r="A155" i="1"/>
  <c r="J154" i="1"/>
  <c r="K154" i="1" s="1"/>
  <c r="I154" i="1"/>
  <c r="H154" i="1"/>
  <c r="A154" i="1"/>
  <c r="J153" i="1"/>
  <c r="I153" i="1"/>
  <c r="H153" i="1"/>
  <c r="K153" i="1" s="1"/>
  <c r="A153" i="1"/>
  <c r="J152" i="1"/>
  <c r="I152" i="1"/>
  <c r="H152" i="1"/>
  <c r="K152" i="1" s="1"/>
  <c r="A152" i="1"/>
  <c r="J151" i="1"/>
  <c r="I151" i="1"/>
  <c r="H151" i="1"/>
  <c r="K151" i="1" s="1"/>
  <c r="A151" i="1"/>
  <c r="J150" i="1"/>
  <c r="K150" i="1" s="1"/>
  <c r="I150" i="1"/>
  <c r="H150" i="1"/>
  <c r="A150" i="1"/>
  <c r="J149" i="1"/>
  <c r="I149" i="1"/>
  <c r="H149" i="1"/>
  <c r="K149" i="1" s="1"/>
  <c r="A149" i="1"/>
  <c r="K148" i="1"/>
  <c r="J148" i="1"/>
  <c r="I148" i="1"/>
  <c r="H148" i="1"/>
  <c r="A148" i="1"/>
  <c r="J147" i="1"/>
  <c r="I147" i="1"/>
  <c r="K147" i="1" s="1"/>
  <c r="H147" i="1"/>
  <c r="A147" i="1"/>
  <c r="J146" i="1"/>
  <c r="I146" i="1"/>
  <c r="K146" i="1" s="1"/>
  <c r="H146" i="1"/>
  <c r="A146" i="1"/>
  <c r="K145" i="1"/>
  <c r="J145" i="1"/>
  <c r="I145" i="1"/>
  <c r="H145" i="1"/>
  <c r="A145" i="1"/>
  <c r="J144" i="1"/>
  <c r="I144" i="1"/>
  <c r="H144" i="1"/>
  <c r="K144" i="1" s="1"/>
  <c r="A144" i="1"/>
  <c r="K143" i="1"/>
  <c r="J143" i="1"/>
  <c r="I143" i="1"/>
  <c r="H143" i="1"/>
  <c r="A143" i="1"/>
  <c r="J142" i="1"/>
  <c r="K142" i="1" s="1"/>
  <c r="I142" i="1"/>
  <c r="H142" i="1"/>
  <c r="A142" i="1"/>
  <c r="J141" i="1"/>
  <c r="I141" i="1"/>
  <c r="K141" i="1" s="1"/>
  <c r="H141" i="1"/>
  <c r="A141" i="1"/>
  <c r="J140" i="1"/>
  <c r="I140" i="1"/>
  <c r="H140" i="1"/>
  <c r="A140" i="1"/>
  <c r="J139" i="1"/>
  <c r="I139" i="1"/>
  <c r="H139" i="1"/>
  <c r="K139" i="1" s="1"/>
  <c r="A139" i="1"/>
  <c r="J138" i="1"/>
  <c r="K138" i="1" s="1"/>
  <c r="I138" i="1"/>
  <c r="H138" i="1"/>
  <c r="A138" i="1"/>
  <c r="K137" i="1"/>
  <c r="J137" i="1"/>
  <c r="I137" i="1"/>
  <c r="H137" i="1"/>
  <c r="A137" i="1"/>
  <c r="J136" i="1"/>
  <c r="I136" i="1"/>
  <c r="H136" i="1"/>
  <c r="A136" i="1"/>
  <c r="J135" i="1"/>
  <c r="I135" i="1"/>
  <c r="K135" i="1" s="1"/>
  <c r="H135" i="1"/>
  <c r="A135" i="1"/>
  <c r="J134" i="1"/>
  <c r="I134" i="1"/>
  <c r="H134" i="1"/>
  <c r="K134" i="1" s="1"/>
  <c r="A134" i="1"/>
  <c r="K133" i="1"/>
  <c r="J133" i="1"/>
  <c r="I133" i="1"/>
  <c r="H133" i="1"/>
  <c r="A133" i="1"/>
  <c r="J132" i="1"/>
  <c r="I132" i="1"/>
  <c r="H132" i="1"/>
  <c r="K132" i="1" s="1"/>
  <c r="A132" i="1"/>
  <c r="J131" i="1"/>
  <c r="I131" i="1"/>
  <c r="H131" i="1"/>
  <c r="A131" i="1"/>
  <c r="J130" i="1"/>
  <c r="K130" i="1" s="1"/>
  <c r="I130" i="1"/>
  <c r="H130" i="1"/>
  <c r="A130" i="1"/>
  <c r="J129" i="1"/>
  <c r="I129" i="1"/>
  <c r="H129" i="1"/>
  <c r="K129" i="1" s="1"/>
  <c r="A129" i="1"/>
  <c r="J128" i="1"/>
  <c r="I128" i="1"/>
  <c r="H128" i="1"/>
  <c r="A128" i="1"/>
  <c r="J127" i="1"/>
  <c r="I127" i="1"/>
  <c r="H127" i="1"/>
  <c r="A127" i="1"/>
  <c r="J126" i="1"/>
  <c r="I126" i="1"/>
  <c r="H126" i="1"/>
  <c r="K126" i="1" s="1"/>
  <c r="A126" i="1"/>
  <c r="J125" i="1"/>
  <c r="I125" i="1"/>
  <c r="H125" i="1"/>
  <c r="K125" i="1" s="1"/>
  <c r="A125" i="1"/>
  <c r="J124" i="1"/>
  <c r="I124" i="1"/>
  <c r="H124" i="1"/>
  <c r="K124" i="1" s="1"/>
  <c r="A124" i="1"/>
  <c r="J123" i="1"/>
  <c r="K123" i="1" s="1"/>
  <c r="I123" i="1"/>
  <c r="H123" i="1"/>
  <c r="A123" i="1"/>
  <c r="K122" i="1"/>
  <c r="J122" i="1"/>
  <c r="I122" i="1"/>
  <c r="H122" i="1"/>
  <c r="A122" i="1"/>
  <c r="J121" i="1"/>
  <c r="I121" i="1"/>
  <c r="H121" i="1"/>
  <c r="K121" i="1" s="1"/>
  <c r="A121" i="1"/>
  <c r="J120" i="1"/>
  <c r="I120" i="1"/>
  <c r="H120" i="1"/>
  <c r="K120" i="1" s="1"/>
  <c r="A120" i="1"/>
  <c r="J119" i="1"/>
  <c r="I119" i="1"/>
  <c r="K119" i="1" s="1"/>
  <c r="H119" i="1"/>
  <c r="A119" i="1"/>
  <c r="J118" i="1"/>
  <c r="K118" i="1" s="1"/>
  <c r="I118" i="1"/>
  <c r="H118" i="1"/>
  <c r="A118" i="1"/>
  <c r="K117" i="1"/>
  <c r="J117" i="1"/>
  <c r="I117" i="1"/>
  <c r="H117" i="1"/>
  <c r="A117" i="1"/>
  <c r="J116" i="1"/>
  <c r="I116" i="1"/>
  <c r="H116" i="1"/>
  <c r="K116" i="1" s="1"/>
  <c r="A116" i="1"/>
  <c r="J115" i="1"/>
  <c r="I115" i="1"/>
  <c r="H115" i="1"/>
  <c r="K115" i="1" s="1"/>
  <c r="A115" i="1"/>
  <c r="J114" i="1"/>
  <c r="I114" i="1"/>
  <c r="H114" i="1"/>
  <c r="K114" i="1" s="1"/>
  <c r="A114" i="1"/>
  <c r="K113" i="1"/>
  <c r="J113" i="1"/>
  <c r="I113" i="1"/>
  <c r="H113" i="1"/>
  <c r="A113" i="1"/>
  <c r="J112" i="1"/>
  <c r="K112" i="1" s="1"/>
  <c r="I112" i="1"/>
  <c r="H112" i="1"/>
  <c r="A112" i="1"/>
  <c r="J111" i="1"/>
  <c r="I111" i="1"/>
  <c r="K111" i="1" s="1"/>
  <c r="H111" i="1"/>
  <c r="A111" i="1"/>
  <c r="J110" i="1"/>
  <c r="I110" i="1"/>
  <c r="H110" i="1"/>
  <c r="K110" i="1" s="1"/>
  <c r="A110" i="1"/>
  <c r="J109" i="1"/>
  <c r="I109" i="1"/>
  <c r="H109" i="1"/>
  <c r="K109" i="1" s="1"/>
  <c r="A109" i="1"/>
  <c r="J108" i="1"/>
  <c r="I108" i="1"/>
  <c r="H108" i="1"/>
  <c r="A108" i="1"/>
  <c r="J107" i="1"/>
  <c r="K107" i="1" s="1"/>
  <c r="I107" i="1"/>
  <c r="H107" i="1"/>
  <c r="A107" i="1"/>
  <c r="J106" i="1"/>
  <c r="K106" i="1" s="1"/>
  <c r="I106" i="1"/>
  <c r="H106" i="1"/>
  <c r="A106" i="1"/>
  <c r="J105" i="1"/>
  <c r="I105" i="1"/>
  <c r="H105" i="1"/>
  <c r="K105" i="1" s="1"/>
  <c r="A105" i="1"/>
  <c r="J104" i="1"/>
  <c r="I104" i="1"/>
  <c r="H104" i="1"/>
  <c r="K104" i="1" s="1"/>
  <c r="A104" i="1"/>
  <c r="J103" i="1"/>
  <c r="I103" i="1"/>
  <c r="H103" i="1"/>
  <c r="K103" i="1" s="1"/>
  <c r="A103" i="1"/>
  <c r="J102" i="1"/>
  <c r="K102" i="1" s="1"/>
  <c r="I102" i="1"/>
  <c r="H102" i="1"/>
  <c r="A102" i="1"/>
  <c r="J101" i="1"/>
  <c r="I101" i="1"/>
  <c r="H101" i="1"/>
  <c r="K101" i="1" s="1"/>
  <c r="A101" i="1"/>
  <c r="K100" i="1"/>
  <c r="J100" i="1"/>
  <c r="I100" i="1"/>
  <c r="H100" i="1"/>
  <c r="A100" i="1"/>
  <c r="J99" i="1"/>
  <c r="I99" i="1"/>
  <c r="K99" i="1" s="1"/>
  <c r="H99" i="1"/>
  <c r="A99" i="1"/>
  <c r="J98" i="1"/>
  <c r="I98" i="1"/>
  <c r="K98" i="1" s="1"/>
  <c r="H98" i="1"/>
  <c r="A98" i="1"/>
  <c r="K97" i="1"/>
  <c r="J97" i="1"/>
  <c r="I97" i="1"/>
  <c r="H97" i="1"/>
  <c r="A97" i="1"/>
  <c r="J96" i="1"/>
  <c r="I96" i="1"/>
  <c r="H96" i="1"/>
  <c r="K96" i="1" s="1"/>
  <c r="A96" i="1"/>
  <c r="K95" i="1"/>
  <c r="J95" i="1"/>
  <c r="I95" i="1"/>
  <c r="H95" i="1"/>
  <c r="A95" i="1"/>
  <c r="J94" i="1"/>
  <c r="K94" i="1" s="1"/>
  <c r="I94" i="1"/>
  <c r="H94" i="1"/>
  <c r="A94" i="1"/>
  <c r="J93" i="1"/>
  <c r="I93" i="1"/>
  <c r="K93" i="1" s="1"/>
  <c r="H93" i="1"/>
  <c r="A93" i="1"/>
  <c r="J92" i="1"/>
  <c r="I92" i="1"/>
  <c r="H92" i="1"/>
  <c r="A92" i="1"/>
  <c r="J91" i="1"/>
  <c r="I91" i="1"/>
  <c r="H91" i="1"/>
  <c r="K91" i="1" s="1"/>
  <c r="A91" i="1"/>
  <c r="J90" i="1"/>
  <c r="K90" i="1" s="1"/>
  <c r="I90" i="1"/>
  <c r="H90" i="1"/>
  <c r="A90" i="1"/>
  <c r="K89" i="1"/>
  <c r="J89" i="1"/>
  <c r="I89" i="1"/>
  <c r="H89" i="1"/>
  <c r="A89" i="1"/>
  <c r="J88" i="1"/>
  <c r="I88" i="1"/>
  <c r="H88" i="1"/>
  <c r="K88" i="1" s="1"/>
  <c r="A88" i="1"/>
  <c r="J87" i="1"/>
  <c r="I87" i="1"/>
  <c r="K87" i="1" s="1"/>
  <c r="H87" i="1"/>
  <c r="A87" i="1"/>
  <c r="J86" i="1"/>
  <c r="I86" i="1"/>
  <c r="H86" i="1"/>
  <c r="K86" i="1" s="1"/>
  <c r="A86" i="1"/>
  <c r="K85" i="1"/>
  <c r="J85" i="1"/>
  <c r="I85" i="1"/>
  <c r="H85" i="1"/>
  <c r="A85" i="1"/>
  <c r="J84" i="1"/>
  <c r="I84" i="1"/>
  <c r="H84" i="1"/>
  <c r="K84" i="1" s="1"/>
  <c r="A84" i="1"/>
  <c r="J83" i="1"/>
  <c r="I83" i="1"/>
  <c r="K83" i="1" s="1"/>
  <c r="H83" i="1"/>
  <c r="A83" i="1"/>
  <c r="J82" i="1"/>
  <c r="K82" i="1" s="1"/>
  <c r="I82" i="1"/>
  <c r="H82" i="1"/>
  <c r="A82" i="1"/>
  <c r="J81" i="1"/>
  <c r="I81" i="1"/>
  <c r="H81" i="1"/>
  <c r="K81" i="1" s="1"/>
  <c r="A81" i="1"/>
  <c r="J80" i="1"/>
  <c r="I80" i="1"/>
  <c r="H80" i="1"/>
  <c r="A80" i="1"/>
  <c r="J79" i="1"/>
  <c r="I79" i="1"/>
  <c r="H79" i="1"/>
  <c r="A79" i="1"/>
  <c r="J78" i="1"/>
  <c r="I78" i="1"/>
  <c r="H78" i="1"/>
  <c r="K78" i="1" s="1"/>
  <c r="A78" i="1"/>
  <c r="J77" i="1"/>
  <c r="I77" i="1"/>
  <c r="H77" i="1"/>
  <c r="K77" i="1" s="1"/>
  <c r="A77" i="1"/>
  <c r="J76" i="1"/>
  <c r="I76" i="1"/>
  <c r="H76" i="1"/>
  <c r="K76" i="1" s="1"/>
  <c r="A76" i="1"/>
  <c r="J75" i="1"/>
  <c r="K75" i="1" s="1"/>
  <c r="I75" i="1"/>
  <c r="H75" i="1"/>
  <c r="A75" i="1"/>
  <c r="K74" i="1"/>
  <c r="J74" i="1"/>
  <c r="I74" i="1"/>
  <c r="H74" i="1"/>
  <c r="A74" i="1"/>
  <c r="J73" i="1"/>
  <c r="I73" i="1"/>
  <c r="H73" i="1"/>
  <c r="K73" i="1" s="1"/>
  <c r="A73" i="1"/>
  <c r="J72" i="1"/>
  <c r="I72" i="1"/>
  <c r="H72" i="1"/>
  <c r="K72" i="1" s="1"/>
  <c r="A72" i="1"/>
  <c r="J71" i="1"/>
  <c r="I71" i="1"/>
  <c r="K71" i="1" s="1"/>
  <c r="H71" i="1"/>
  <c r="A71" i="1"/>
  <c r="J70" i="1"/>
  <c r="K70" i="1" s="1"/>
  <c r="I70" i="1"/>
  <c r="H70" i="1"/>
  <c r="A70" i="1"/>
  <c r="K69" i="1"/>
  <c r="J69" i="1"/>
  <c r="I69" i="1"/>
  <c r="H69" i="1"/>
  <c r="A69" i="1"/>
  <c r="J68" i="1"/>
  <c r="I68" i="1"/>
  <c r="H68" i="1"/>
  <c r="K68" i="1" s="1"/>
  <c r="A68" i="1"/>
  <c r="J67" i="1"/>
  <c r="I67" i="1"/>
  <c r="H67" i="1"/>
  <c r="K67" i="1" s="1"/>
  <c r="A67" i="1"/>
  <c r="J66" i="1"/>
  <c r="I66" i="1"/>
  <c r="H66" i="1"/>
  <c r="K66" i="1" s="1"/>
  <c r="A66" i="1"/>
  <c r="K65" i="1"/>
  <c r="J65" i="1"/>
  <c r="I65" i="1"/>
  <c r="H65" i="1"/>
  <c r="A65" i="1"/>
  <c r="J64" i="1"/>
  <c r="K64" i="1" s="1"/>
  <c r="I64" i="1"/>
  <c r="H64" i="1"/>
  <c r="A64" i="1"/>
  <c r="J63" i="1"/>
  <c r="I63" i="1"/>
  <c r="K63" i="1" s="1"/>
  <c r="H63" i="1"/>
  <c r="A63" i="1"/>
  <c r="J62" i="1"/>
  <c r="I62" i="1"/>
  <c r="H62" i="1"/>
  <c r="K62" i="1" s="1"/>
  <c r="A62" i="1"/>
  <c r="J61" i="1"/>
  <c r="I61" i="1"/>
  <c r="H61" i="1"/>
  <c r="K61" i="1" s="1"/>
  <c r="A61" i="1"/>
  <c r="J60" i="1"/>
  <c r="I60" i="1"/>
  <c r="H60" i="1"/>
  <c r="A60" i="1"/>
  <c r="J59" i="1"/>
  <c r="K59" i="1" s="1"/>
  <c r="I59" i="1"/>
  <c r="H59" i="1"/>
  <c r="A59" i="1"/>
  <c r="J58" i="1"/>
  <c r="K58" i="1" s="1"/>
  <c r="I58" i="1"/>
  <c r="H58" i="1"/>
  <c r="A58" i="1"/>
  <c r="J57" i="1"/>
  <c r="I57" i="1"/>
  <c r="H57" i="1"/>
  <c r="K57" i="1" s="1"/>
  <c r="A57" i="1"/>
  <c r="J56" i="1"/>
  <c r="I56" i="1"/>
  <c r="H56" i="1"/>
  <c r="K56" i="1" s="1"/>
  <c r="A56" i="1"/>
  <c r="J55" i="1"/>
  <c r="I55" i="1"/>
  <c r="H55" i="1"/>
  <c r="A55" i="1"/>
  <c r="J54" i="1"/>
  <c r="K54" i="1" s="1"/>
  <c r="I54" i="1"/>
  <c r="H54" i="1"/>
  <c r="A54" i="1"/>
  <c r="J53" i="1"/>
  <c r="I53" i="1"/>
  <c r="H53" i="1"/>
  <c r="K53" i="1" s="1"/>
  <c r="A53" i="1"/>
  <c r="K52" i="1"/>
  <c r="J52" i="1"/>
  <c r="I52" i="1"/>
  <c r="H52" i="1"/>
  <c r="A52" i="1"/>
  <c r="J51" i="1"/>
  <c r="I51" i="1"/>
  <c r="K51" i="1" s="1"/>
  <c r="H51" i="1"/>
  <c r="A51" i="1"/>
  <c r="J50" i="1"/>
  <c r="I50" i="1"/>
  <c r="K50" i="1" s="1"/>
  <c r="H50" i="1"/>
  <c r="A50" i="1"/>
  <c r="K49" i="1"/>
  <c r="J49" i="1"/>
  <c r="I49" i="1"/>
  <c r="H49" i="1"/>
  <c r="A49" i="1"/>
  <c r="J48" i="1"/>
  <c r="I48" i="1"/>
  <c r="H48" i="1"/>
  <c r="K48" i="1" s="1"/>
  <c r="A48" i="1"/>
  <c r="K47" i="1"/>
  <c r="J47" i="1"/>
  <c r="I47" i="1"/>
  <c r="H47" i="1"/>
  <c r="A47" i="1"/>
  <c r="J46" i="1"/>
  <c r="K46" i="1" s="1"/>
  <c r="I46" i="1"/>
  <c r="H46" i="1"/>
  <c r="A46" i="1"/>
  <c r="J45" i="1"/>
  <c r="I45" i="1"/>
  <c r="K45" i="1" s="1"/>
  <c r="H45" i="1"/>
  <c r="A45" i="1"/>
  <c r="J44" i="1"/>
  <c r="I44" i="1"/>
  <c r="H44" i="1"/>
  <c r="A44" i="1"/>
  <c r="J43" i="1"/>
  <c r="I43" i="1"/>
  <c r="H43" i="1"/>
  <c r="K43" i="1" s="1"/>
  <c r="A43" i="1"/>
  <c r="J42" i="1"/>
  <c r="K42" i="1" s="1"/>
  <c r="I42" i="1"/>
  <c r="H42" i="1"/>
  <c r="A42" i="1"/>
  <c r="K41" i="1"/>
  <c r="J41" i="1"/>
  <c r="I41" i="1"/>
  <c r="H41" i="1"/>
  <c r="A41" i="1"/>
  <c r="J40" i="1"/>
  <c r="I40" i="1"/>
  <c r="H40" i="1"/>
  <c r="K40" i="1" s="1"/>
  <c r="A40" i="1"/>
  <c r="J39" i="1"/>
  <c r="I39" i="1"/>
  <c r="K39" i="1" s="1"/>
  <c r="H39" i="1"/>
  <c r="A39" i="1"/>
  <c r="J38" i="1"/>
  <c r="I38" i="1"/>
  <c r="H38" i="1"/>
  <c r="K38" i="1" s="1"/>
  <c r="A38" i="1"/>
  <c r="K37" i="1"/>
  <c r="J37" i="1"/>
  <c r="I37" i="1"/>
  <c r="H37" i="1"/>
  <c r="A37" i="1"/>
  <c r="J36" i="1"/>
  <c r="I36" i="1"/>
  <c r="H36" i="1"/>
  <c r="K36" i="1" s="1"/>
  <c r="A36" i="1"/>
  <c r="J35" i="1"/>
  <c r="I35" i="1"/>
  <c r="K35" i="1" s="1"/>
  <c r="H35" i="1"/>
  <c r="A35" i="1"/>
  <c r="J34" i="1"/>
  <c r="K34" i="1" s="1"/>
  <c r="I34" i="1"/>
  <c r="H34" i="1"/>
  <c r="A34" i="1"/>
  <c r="J33" i="1"/>
  <c r="I33" i="1"/>
  <c r="H33" i="1"/>
  <c r="K33" i="1" s="1"/>
  <c r="A33" i="1"/>
  <c r="J32" i="1"/>
  <c r="I32" i="1"/>
  <c r="H32" i="1"/>
  <c r="A32" i="1"/>
  <c r="J31" i="1"/>
  <c r="I31" i="1"/>
  <c r="H31" i="1"/>
  <c r="A31" i="1"/>
  <c r="J30" i="1"/>
  <c r="I30" i="1"/>
  <c r="H30" i="1"/>
  <c r="K30" i="1" s="1"/>
  <c r="A30" i="1"/>
  <c r="J29" i="1"/>
  <c r="I29" i="1"/>
  <c r="H29" i="1"/>
  <c r="K29" i="1" s="1"/>
  <c r="A29" i="1"/>
  <c r="J28" i="1"/>
  <c r="I28" i="1"/>
  <c r="H28" i="1"/>
  <c r="K28" i="1" s="1"/>
  <c r="A28" i="1"/>
  <c r="J27" i="1"/>
  <c r="K27" i="1" s="1"/>
  <c r="I27" i="1"/>
  <c r="H27" i="1"/>
  <c r="A27" i="1"/>
  <c r="K26" i="1"/>
  <c r="J26" i="1"/>
  <c r="I26" i="1"/>
  <c r="H26" i="1"/>
  <c r="A26" i="1"/>
  <c r="J25" i="1"/>
  <c r="I25" i="1"/>
  <c r="H25" i="1"/>
  <c r="K25" i="1" s="1"/>
  <c r="A25" i="1"/>
  <c r="J24" i="1"/>
  <c r="I24" i="1"/>
  <c r="H24" i="1"/>
  <c r="K24" i="1" s="1"/>
  <c r="A24" i="1"/>
  <c r="J23" i="1"/>
  <c r="I23" i="1"/>
  <c r="K23" i="1" s="1"/>
  <c r="H23" i="1"/>
  <c r="A23" i="1"/>
  <c r="J22" i="1"/>
  <c r="K22" i="1" s="1"/>
  <c r="I22" i="1"/>
  <c r="H22" i="1"/>
  <c r="A22" i="1"/>
  <c r="K21" i="1"/>
  <c r="J21" i="1"/>
  <c r="I21" i="1"/>
  <c r="H21" i="1"/>
  <c r="A21" i="1"/>
  <c r="J20" i="1"/>
  <c r="I20" i="1"/>
  <c r="H20" i="1"/>
  <c r="K20" i="1" s="1"/>
  <c r="A20" i="1"/>
  <c r="J19" i="1"/>
  <c r="I19" i="1"/>
  <c r="H19" i="1"/>
  <c r="K19" i="1" s="1"/>
  <c r="A19" i="1"/>
  <c r="J18" i="1"/>
  <c r="I18" i="1"/>
  <c r="H18" i="1"/>
  <c r="K18" i="1" s="1"/>
  <c r="A18" i="1"/>
  <c r="K17" i="1"/>
  <c r="J17" i="1"/>
  <c r="I17" i="1"/>
  <c r="H17" i="1"/>
  <c r="A17" i="1"/>
  <c r="K16" i="1"/>
  <c r="J16" i="1"/>
  <c r="I16" i="1"/>
  <c r="H16" i="1"/>
  <c r="A16" i="1"/>
  <c r="J15" i="1"/>
  <c r="I15" i="1"/>
  <c r="K15" i="1" s="1"/>
  <c r="H15" i="1"/>
  <c r="A15" i="1"/>
  <c r="J14" i="1"/>
  <c r="I14" i="1"/>
  <c r="H14" i="1"/>
  <c r="K14" i="1" s="1"/>
  <c r="A14" i="1"/>
  <c r="J13" i="1"/>
  <c r="I13" i="1"/>
  <c r="H13" i="1"/>
  <c r="K13" i="1" s="1"/>
  <c r="A13" i="1"/>
  <c r="J12" i="1"/>
  <c r="I12" i="1"/>
  <c r="H12" i="1"/>
  <c r="A12" i="1"/>
  <c r="J11" i="1"/>
  <c r="K11" i="1" s="1"/>
  <c r="I11" i="1"/>
  <c r="H11" i="1"/>
  <c r="A11" i="1"/>
  <c r="J10" i="1"/>
  <c r="K10" i="1" s="1"/>
  <c r="I10" i="1"/>
  <c r="H10" i="1"/>
  <c r="A10" i="1"/>
  <c r="J9" i="1"/>
  <c r="I9" i="1"/>
  <c r="H9" i="1"/>
  <c r="K9" i="1" s="1"/>
  <c r="A9" i="1"/>
  <c r="J8" i="1"/>
  <c r="I8" i="1"/>
  <c r="H8" i="1"/>
  <c r="K8" i="1" s="1"/>
  <c r="A8" i="1"/>
  <c r="J7" i="1"/>
  <c r="I7" i="1"/>
  <c r="H7" i="1"/>
  <c r="K7" i="1" s="1"/>
  <c r="A7" i="1"/>
  <c r="J6" i="1"/>
  <c r="K6" i="1" s="1"/>
  <c r="I6" i="1"/>
  <c r="H6" i="1"/>
  <c r="A6" i="1"/>
  <c r="K136" i="1" l="1"/>
  <c r="K391" i="1"/>
  <c r="K184" i="1"/>
  <c r="K212" i="1"/>
  <c r="K313" i="1"/>
  <c r="K439" i="1"/>
  <c r="K131" i="1"/>
  <c r="K328" i="1"/>
  <c r="K356" i="1"/>
  <c r="K460" i="1"/>
  <c r="K55" i="1"/>
  <c r="K179" i="1"/>
  <c r="K376" i="1"/>
  <c r="K404" i="1"/>
  <c r="K31" i="1"/>
  <c r="K79" i="1"/>
  <c r="K127" i="1"/>
  <c r="K175" i="1"/>
  <c r="K223" i="1"/>
  <c r="K271" i="1"/>
  <c r="K319" i="1"/>
  <c r="K367" i="1"/>
  <c r="K415" i="1"/>
  <c r="K482" i="1"/>
  <c r="K44" i="1"/>
  <c r="K92" i="1"/>
  <c r="K140" i="1"/>
  <c r="K188" i="1"/>
  <c r="K236" i="1"/>
  <c r="K284" i="1"/>
  <c r="K332" i="1"/>
  <c r="K380" i="1"/>
  <c r="K428" i="1"/>
  <c r="K464" i="1"/>
  <c r="K80" i="1"/>
  <c r="K176" i="1"/>
  <c r="K224" i="1"/>
  <c r="K272" i="1"/>
  <c r="K320" i="1"/>
  <c r="K368" i="1"/>
  <c r="K416" i="1"/>
  <c r="K32" i="1"/>
  <c r="K128" i="1"/>
  <c r="K12" i="1"/>
  <c r="K60" i="1"/>
  <c r="K108" i="1"/>
  <c r="K156" i="1"/>
  <c r="K204" i="1"/>
  <c r="K252" i="1"/>
  <c r="K300" i="1"/>
  <c r="K348" i="1"/>
  <c r="K396" i="1"/>
  <c r="K444" i="1"/>
  <c r="K470" i="1"/>
  <c r="K4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</author>
  </authors>
  <commentList>
    <comment ref="F14" authorId="0" shapeId="0" xr:uid="{F69A8E85-9F74-40AE-B2EA-98DEF83521B1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5" authorId="0" shapeId="0" xr:uid="{FD59D93B-95D2-4019-B860-3DCA5758F64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9" authorId="0" shapeId="0" xr:uid="{9CBA4278-D6EA-4875-B7DB-6F3CBAE25069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0" authorId="0" shapeId="0" xr:uid="{041C4ACD-A69F-4243-9175-302A8E57300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9" authorId="0" shapeId="0" xr:uid="{E3925123-0D45-4CBD-92CF-F9C149BC220F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3" authorId="0" shapeId="0" xr:uid="{D839D517-EA11-4CBD-921A-79F11EED031E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42" authorId="0" shapeId="0" xr:uid="{2E417DF5-7232-4BDB-92AA-6B79138DA064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43" authorId="0" shapeId="0" xr:uid="{90155949-3CF5-46BD-882C-8F8F3C15695D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47" authorId="0" shapeId="0" xr:uid="{EEC20F5F-9685-4D88-9A7B-A401A6A53D2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48" authorId="0" shapeId="0" xr:uid="{E76BAC99-F15F-44EF-B215-200D0B4F50CE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65" authorId="0" shapeId="0" xr:uid="{046CD3A0-7AC7-4B3D-9DDF-9065ECDBB7EF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69" authorId="0" shapeId="0" xr:uid="{DFB1224D-36CF-4958-BE8D-621AAD03D0A8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74" authorId="0" shapeId="0" xr:uid="{0047B4D2-5822-45C8-BE60-E4D8D27959BF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78" authorId="0" shapeId="0" xr:uid="{27A8A830-A2E7-472A-ADBA-8078326C95C8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87" authorId="0" shapeId="0" xr:uid="{08440016-E99D-4114-9AF4-3FA16AFE7F04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88" authorId="0" shapeId="0" xr:uid="{A61B1BCD-2F30-4EBD-86D1-BED1505796F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92" authorId="0" shapeId="0" xr:uid="{DD04B253-CE1A-49E0-9D61-6C66538A0CA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93" authorId="0" shapeId="0" xr:uid="{D3747759-27D9-4577-9830-4FC306369AE1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03" authorId="0" shapeId="0" xr:uid="{F9572119-E97F-46E1-A04D-101D86CF5E10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04" authorId="0" shapeId="0" xr:uid="{C835AD6A-830C-4325-A4BB-16BF67156286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08" authorId="0" shapeId="0" xr:uid="{C1BD7F27-0518-48B0-B54F-40EEE6CE5D0F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09" authorId="0" shapeId="0" xr:uid="{A9018ED5-AAD8-468A-904E-B2AB11F18D43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16" authorId="0" shapeId="0" xr:uid="{99CB01D0-0590-4448-BF8B-AD1A2BED9A54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17" authorId="0" shapeId="0" xr:uid="{65F5D896-276D-456F-BBDC-9CF242FFA190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N121" authorId="0" shapeId="0" xr:uid="{BAADF95C-362B-4B55-ACD9-DD18796B5EE7}">
      <text>
        <r>
          <rPr>
            <b/>
            <sz val="9"/>
            <color indexed="81"/>
            <rFont val="Segoe UI"/>
            <family val="2"/>
          </rPr>
          <t>PREÇO AJUSTADO, CONFORME ALTERAÇÃO DA ESPESSURA DA ESPUMA P/ 0,04mm</t>
        </r>
      </text>
    </comment>
    <comment ref="F134" authorId="0" shapeId="0" xr:uid="{3D726C7A-D054-4913-A3B2-4B8270E0CBD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38" authorId="0" shapeId="0" xr:uid="{DBBD1C1C-0C56-4E3C-ADEE-3BD2652B6A73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43" authorId="0" shapeId="0" xr:uid="{03AEC66A-BE24-4F9D-A98D-E7703E859CC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44" authorId="0" shapeId="0" xr:uid="{8CBD1BDC-C8E0-4BBF-B324-51BC0A893F7C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48" authorId="0" shapeId="0" xr:uid="{34DC4EE2-F664-4E6D-B179-8921DFF9F8E8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49" authorId="0" shapeId="0" xr:uid="{FC9677AA-C6A3-4B5A-851D-D1ECC71B63E0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66" authorId="0" shapeId="0" xr:uid="{426085BC-7157-4355-90C7-BE680F111D5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67" authorId="0" shapeId="0" xr:uid="{67F6BE3A-E6CD-4E3A-B57B-482C94FE3D3D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72" authorId="0" shapeId="0" xr:uid="{C0214D55-12A2-41DF-A436-4710A9FA8C41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173" authorId="0" shapeId="0" xr:uid="{96065CFA-442F-4963-9270-C5A356353D22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05" authorId="0" shapeId="0" xr:uid="{DC082BFE-6DF4-4547-87B1-3A9E8F3B0F9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06" authorId="0" shapeId="0" xr:uid="{F61D31FF-237D-4FBD-9A43-36A3BB3F2E27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11" authorId="0" shapeId="0" xr:uid="{374047C5-6421-4696-85AE-488A5FD60A48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12" authorId="0" shapeId="0" xr:uid="{A5907082-C133-4104-B7D6-B9B9DDB06DE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21" authorId="0" shapeId="0" xr:uid="{18D5DD75-D5E5-4CC5-BE20-EAA16A61ED4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22" authorId="0" shapeId="0" xr:uid="{BE1D8804-0C83-49DD-9A7C-57D277872CE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25" authorId="0" shapeId="0" xr:uid="{F43FC9FC-4DF3-4B1C-9571-65F00C8B3A33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26" authorId="0" shapeId="0" xr:uid="{F02BA472-70C0-416F-8BBA-E1001F15F92C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30" authorId="0" shapeId="0" xr:uid="{55787BDD-982F-4E6D-B673-172BA343FEF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31" authorId="0" shapeId="0" xr:uid="{44DFB5D4-9ED5-470A-A2B1-7960DB68BE7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34" authorId="0" shapeId="0" xr:uid="{1CF6967C-300B-4F84-93BC-13E1BBB9DEBF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35" authorId="0" shapeId="0" xr:uid="{EB1846C3-2812-4B25-B6E8-1AE41FB2C86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66" authorId="0" shapeId="0" xr:uid="{0B75ED54-7094-413A-9B03-891DF04609D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67" authorId="0" shapeId="0" xr:uid="{B2536A64-00DF-4E93-827B-51053E733E8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72" authorId="0" shapeId="0" xr:uid="{65B44002-EEE4-4CED-B261-2F268FE25EE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273" authorId="0" shapeId="0" xr:uid="{C040EC02-F136-4A60-84A6-C7363629C89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25" authorId="0" shapeId="0" xr:uid="{BC471289-AA71-44E4-A962-69D1EB697BCB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26" authorId="0" shapeId="0" xr:uid="{7D252F20-586D-4E96-9DB2-B645DD9F72BF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31" authorId="0" shapeId="0" xr:uid="{81BB82AC-8B39-4204-8079-FFC7023DC5FE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32" authorId="0" shapeId="0" xr:uid="{3E105BD4-23F8-43E2-A55F-33FAB7917707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37" authorId="0" shapeId="0" xr:uid="{26C00692-163B-418C-A7AD-9E8850C42A2E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38" authorId="0" shapeId="0" xr:uid="{925000B0-8307-494A-979E-109236233F66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43" authorId="0" shapeId="0" xr:uid="{267CDD15-41B6-45DD-A2C3-A215CCD5BE66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44" authorId="0" shapeId="0" xr:uid="{85A4EA77-941E-498C-91FF-59143D903C25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49" authorId="0" shapeId="0" xr:uid="{C3B331C1-9586-4811-91DE-9D401C1F4534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50" authorId="0" shapeId="0" xr:uid="{76F05F10-B3EC-4B3F-A226-2CDFBB8DC52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55" authorId="0" shapeId="0" xr:uid="{8106244E-5FBC-48B4-AEDF-270FA8CDFFA6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56" authorId="0" shapeId="0" xr:uid="{8878BFF9-5C27-4D27-A207-4C68B6C20398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D361" authorId="0" shapeId="0" xr:uid="{7D1828E1-1FBD-4CFE-90F1-C25A48C52811}">
      <text>
        <r>
          <rPr>
            <b/>
            <sz val="9"/>
            <color indexed="81"/>
            <rFont val="Segoe UI"/>
            <family val="2"/>
          </rPr>
          <t>PREÇO AJUSTADO, CONFORME ALTERAÇÃO DA ESPESSURA DA ESPUMA P/ 0,04mm</t>
        </r>
      </text>
    </comment>
    <comment ref="L361" authorId="0" shapeId="0" xr:uid="{181D4EC9-095D-47BA-86E8-1F3E56F3FEC4}">
      <text>
        <r>
          <rPr>
            <b/>
            <sz val="9"/>
            <color indexed="81"/>
            <rFont val="Segoe UI"/>
            <family val="2"/>
          </rPr>
          <t>PREÇO AJUSTADO, CONFORME ALTERAÇÃO DA ESPESSURA DA ESPUMA P/ 0,04mm</t>
        </r>
      </text>
    </comment>
    <comment ref="F375" authorId="0" shapeId="0" xr:uid="{4B2D7806-7E5E-4B38-A5F8-793E33CC459E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79" authorId="0" shapeId="0" xr:uid="{5BA501F3-EB4D-452A-BD5C-0E2542E2527A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  <comment ref="F380" authorId="0" shapeId="0" xr:uid="{4B4DEC8D-3E20-4717-B2AA-BEAF97456B9D}">
      <text>
        <r>
          <rPr>
            <b/>
            <sz val="9"/>
            <color indexed="81"/>
            <rFont val="Segoe UI"/>
            <family val="2"/>
          </rPr>
          <t>Produtos Bipartido tem o seu valor multiplicado por 2.</t>
        </r>
      </text>
    </comment>
  </commentList>
</comments>
</file>

<file path=xl/sharedStrings.xml><?xml version="1.0" encoding="utf-8"?>
<sst xmlns="http://schemas.openxmlformats.org/spreadsheetml/2006/main" count="2069" uniqueCount="392">
  <si>
    <t>TABELA DE PREÇOS COMERCIAL - JULHO 2026</t>
  </si>
  <si>
    <t>CHAVE</t>
  </si>
  <si>
    <t>CÓD</t>
  </si>
  <si>
    <t>PRODUTO</t>
  </si>
  <si>
    <t>MEDIDA</t>
  </si>
  <si>
    <t>À VISTA</t>
  </si>
  <si>
    <t>CUSTO</t>
  </si>
  <si>
    <t>LARG</t>
  </si>
  <si>
    <t>COMP</t>
  </si>
  <si>
    <t>ALT</t>
  </si>
  <si>
    <t>M³</t>
  </si>
  <si>
    <t>CONTROLE</t>
  </si>
  <si>
    <t>FORMA PAGTO</t>
  </si>
  <si>
    <t>COMERCIAL</t>
  </si>
  <si>
    <t>COLC MAJESTIC</t>
  </si>
  <si>
    <t>880X1880X350</t>
  </si>
  <si>
    <t>PADRAO#880#1880#350</t>
  </si>
  <si>
    <t xml:space="preserve">BIBOX </t>
  </si>
  <si>
    <t>1280X1880X350</t>
  </si>
  <si>
    <t>PADRAO#1280#1880#350</t>
  </si>
  <si>
    <t>BIBOX PREMIUM [CINZA/PLW]</t>
  </si>
  <si>
    <t>1380X1880X350</t>
  </si>
  <si>
    <t>PADRAO#1380#1880#350</t>
  </si>
  <si>
    <t>BOX BAÚ</t>
  </si>
  <si>
    <t>1580X1980X350</t>
  </si>
  <si>
    <t>PADRAO#1580#1980#350</t>
  </si>
  <si>
    <t>BOX BAÚ AUTOMÁTICO</t>
  </si>
  <si>
    <t>1930X2030X350</t>
  </si>
  <si>
    <t>PADRAO#1930#2030#350</t>
  </si>
  <si>
    <t>BOX BENEFIT</t>
  </si>
  <si>
    <t>BOX MAJESTIC</t>
  </si>
  <si>
    <t>880X1880X250</t>
  </si>
  <si>
    <t>PADRAO#880#1880#250</t>
  </si>
  <si>
    <t>BOX BIPARTIDO BAÚ</t>
  </si>
  <si>
    <t>1280X1880X250</t>
  </si>
  <si>
    <t>PADRAO#1280#1880#250</t>
  </si>
  <si>
    <t>BOX BIPARTIDO BAÚ AUTOMÁTICO</t>
  </si>
  <si>
    <t>1380X1880X250</t>
  </si>
  <si>
    <t>PADRAO#1380#1880#250</t>
  </si>
  <si>
    <t>BOX BIPARTIDO BENEFIT</t>
  </si>
  <si>
    <t>BOX BIPARTIDO MAJESTIC</t>
  </si>
  <si>
    <t>1580X1980X250</t>
  </si>
  <si>
    <t>PADRAO#1580#1980#250</t>
  </si>
  <si>
    <t>BOX BIPARTIDO ECOROYAL</t>
  </si>
  <si>
    <t>1930X2030X250</t>
  </si>
  <si>
    <t>PADRAO#1930#2030#250</t>
  </si>
  <si>
    <t>BOX BIPARTIDO GRAND HOTEL</t>
  </si>
  <si>
    <t>880X1880X300</t>
  </si>
  <si>
    <t>PADRAO#880#1880#300</t>
  </si>
  <si>
    <t>BOX BIPARTIDO GRAND SUED</t>
  </si>
  <si>
    <t>1280X1880X300</t>
  </si>
  <si>
    <t>PADRAO#1280#1880#300</t>
  </si>
  <si>
    <t>BOX BIPARTIDO ITALY</t>
  </si>
  <si>
    <t>1380X1880X300</t>
  </si>
  <si>
    <t>PADRAO#1380#1880#300</t>
  </si>
  <si>
    <t>BOX BIPARTIDO MAESTRO</t>
  </si>
  <si>
    <t>1580X1980X300</t>
  </si>
  <si>
    <t>PADRAO#1580#1980#300</t>
  </si>
  <si>
    <t>1930X2030X300</t>
  </si>
  <si>
    <t>PADRAO#1930#2030#300</t>
  </si>
  <si>
    <t>BOX BIPARTIDO MAXFIRM</t>
  </si>
  <si>
    <t>BOX COM AUXÍLIO MAJESTIC</t>
  </si>
  <si>
    <t>MAJESTIC#PADRAO#880#1880#300</t>
  </si>
  <si>
    <t>BOX BIPARTIDO MILLENIUM BLACK</t>
  </si>
  <si>
    <t>COLC NEW MAJESTIC</t>
  </si>
  <si>
    <t>BOX BIPARTIDO MILLENIUM CINZA</t>
  </si>
  <si>
    <t>BOX BIPARTIDO MILLENIUM MARROM</t>
  </si>
  <si>
    <t>BOX BIPARTIDO NEW BENEFIT</t>
  </si>
  <si>
    <t>BOX BIPARTIDO NEW MAJESTIC</t>
  </si>
  <si>
    <t>BOX NEW MAJESTIC</t>
  </si>
  <si>
    <t>BOX BIPARTIDO NOBILE</t>
  </si>
  <si>
    <t>BOX BIPARTIDO ORIGINALE</t>
  </si>
  <si>
    <t>BOX BIPARTIDO PALACE</t>
  </si>
  <si>
    <t>BOX BIPARTIDO PALACE SILVER</t>
  </si>
  <si>
    <t>BOX BIPARTIDO ROBUST</t>
  </si>
  <si>
    <t>BOX BIPARTIDO SPRING FLEX</t>
  </si>
  <si>
    <t>BOX BIPARTIDO SPRING FLEX ECO</t>
  </si>
  <si>
    <t>BOX BIPARTIDO SUEDE CINZA</t>
  </si>
  <si>
    <t>COLC GRAND SUED</t>
  </si>
  <si>
    <t>BOX BIPARTIDO SUEDE PRETO</t>
  </si>
  <si>
    <t>BOX BIPARTIDO SUEDE TERRA</t>
  </si>
  <si>
    <t>BOX BIPARTIDO SUPERIORE</t>
  </si>
  <si>
    <t>BOX COM AUXÍLIO BENEFIT</t>
  </si>
  <si>
    <t>BOX COM AUXÍLIO BONJI CINZA</t>
  </si>
  <si>
    <t>BOX GRAND SUED</t>
  </si>
  <si>
    <t>BOX COM AUXÍLIO ECOROYAL</t>
  </si>
  <si>
    <t>BOX COM AUXÍLIO GRAND SUED</t>
  </si>
  <si>
    <t>BOX COM AUXÍLIO MAESTRO</t>
  </si>
  <si>
    <t>CHEQUE</t>
  </si>
  <si>
    <t>BOX COM AUXÍLIO MAXFIRM</t>
  </si>
  <si>
    <t>BOX COM AUXÍLIO MILLENIUM</t>
  </si>
  <si>
    <t>BOX COM AUXÍLIO NOBILE</t>
  </si>
  <si>
    <t>BOX COM AUXÍLIO ORIGINALE</t>
  </si>
  <si>
    <t>BOX COM AUXÍLIO PALACE</t>
  </si>
  <si>
    <t>BOX COM AUXÍLIO ROBUST</t>
  </si>
  <si>
    <t>GRANDSUED#PADRAO#880#1880#300</t>
  </si>
  <si>
    <t>BOX COM AUXÍLIO SPRING FLEX</t>
  </si>
  <si>
    <t>COLC PALACE</t>
  </si>
  <si>
    <t>880X1880X280</t>
  </si>
  <si>
    <t>PADRAO#880#1880#280</t>
  </si>
  <si>
    <t>BOX COM AUXÍLIO SUEDE PRETO</t>
  </si>
  <si>
    <t>1280X1880X280</t>
  </si>
  <si>
    <t>PADRAO#1280#1880#280</t>
  </si>
  <si>
    <t>BOX COM AUXÍLIO SUEDE TERRA</t>
  </si>
  <si>
    <t>1380X1880X280</t>
  </si>
  <si>
    <t>PADRAO#1380#1880#280</t>
  </si>
  <si>
    <t>BOX COM AUXÍLIO SUPERIORE</t>
  </si>
  <si>
    <t>1580X1980X280</t>
  </si>
  <si>
    <t>PADRAO#1580#1980#280</t>
  </si>
  <si>
    <t>BOX ECOROYAL</t>
  </si>
  <si>
    <t>COLC PALACE SILVER</t>
  </si>
  <si>
    <t>BOX GRAND HOTEL</t>
  </si>
  <si>
    <t>BOX ITALY</t>
  </si>
  <si>
    <t>BOX MAESTRO</t>
  </si>
  <si>
    <t>COLC PALACE PLW</t>
  </si>
  <si>
    <t>PIX</t>
  </si>
  <si>
    <t>BOX MAXFIRM</t>
  </si>
  <si>
    <t>BOX MILLENIUM BLACK</t>
  </si>
  <si>
    <t>BOX MILLENIUM CINZA</t>
  </si>
  <si>
    <t>BOX PALACE</t>
  </si>
  <si>
    <t>BOX MILLENIUM MARROM</t>
  </si>
  <si>
    <t>BOX NEW BENEFIT</t>
  </si>
  <si>
    <t>DÉBITO</t>
  </si>
  <si>
    <t>BOX NOBILE</t>
  </si>
  <si>
    <t>BOX ORIGINALE</t>
  </si>
  <si>
    <t>BOX PALACE SILVER</t>
  </si>
  <si>
    <t>BOX POCKET NOBILE</t>
  </si>
  <si>
    <t>PALACE#PADRAO#880#1880#300</t>
  </si>
  <si>
    <t>BOX ROBUST</t>
  </si>
  <si>
    <t>BOX SPRING FLEX</t>
  </si>
  <si>
    <t>BOX SPRING FLEX ECO</t>
  </si>
  <si>
    <t>BOX SUEDE CINZA</t>
  </si>
  <si>
    <t>BOX SUEDE PRETO</t>
  </si>
  <si>
    <t>BOX SUEDE TERRA</t>
  </si>
  <si>
    <t>BOX SUPERIORE</t>
  </si>
  <si>
    <t>COLC BENEFIT</t>
  </si>
  <si>
    <t xml:space="preserve">COLC CLASSIC D20 BORDADO </t>
  </si>
  <si>
    <t>880X1880X320</t>
  </si>
  <si>
    <t>PADRAO#880#1880#320</t>
  </si>
  <si>
    <t>COLC CLASSIC D20 LISO</t>
  </si>
  <si>
    <t>1280X1880X320</t>
  </si>
  <si>
    <t>PADRAO#1280#1880#320</t>
  </si>
  <si>
    <t>COLC CLASSIC INFANTIL  D20 BORDADO</t>
  </si>
  <si>
    <t>1380X1880X320</t>
  </si>
  <si>
    <t>PADRAO#1380#1880#320</t>
  </si>
  <si>
    <t>COLC CLASSIC INFANTIL  D20 LISO</t>
  </si>
  <si>
    <t>1580X1980X320</t>
  </si>
  <si>
    <t>PADRAO#1580#1980#320</t>
  </si>
  <si>
    <t>COLC DREAMS D28 BORDADO</t>
  </si>
  <si>
    <t>1930X2030X320</t>
  </si>
  <si>
    <t>PADRAO#1930#2030#320</t>
  </si>
  <si>
    <t>COLC DREAMS D28 LISO</t>
  </si>
  <si>
    <t>COLC ECOROYAL</t>
  </si>
  <si>
    <t>COLC GRAND HOTEL</t>
  </si>
  <si>
    <t>COLC ITALY D45</t>
  </si>
  <si>
    <t>COLC ITALY PLUS</t>
  </si>
  <si>
    <t>COLC ITALY PLW</t>
  </si>
  <si>
    <t>COLC MAESTRO</t>
  </si>
  <si>
    <t>CRÉDITO</t>
  </si>
  <si>
    <t>COLC MAXFIRM</t>
  </si>
  <si>
    <t>COLC NEW BENEFIT</t>
  </si>
  <si>
    <t>BENEFIT#PADRAO#880#1880#300</t>
  </si>
  <si>
    <t>BOLETO</t>
  </si>
  <si>
    <t>COLC NOBILE</t>
  </si>
  <si>
    <t>COLC ORIGINALE</t>
  </si>
  <si>
    <t>COLC ROBUST D33</t>
  </si>
  <si>
    <t>COLC ROBUST D33 EPS</t>
  </si>
  <si>
    <t>COLC SPRING FLEX</t>
  </si>
  <si>
    <t>COLC SPRING FLEX ECO</t>
  </si>
  <si>
    <t>COLC SPRING FLEX PLW</t>
  </si>
  <si>
    <t>COLC SUPERIORE</t>
  </si>
  <si>
    <t>COLC SUPREMA D33</t>
  </si>
  <si>
    <t>COLCHONETE D20 LISO</t>
  </si>
  <si>
    <t>COMFORT D23</t>
  </si>
  <si>
    <t>MAXFIRM D65</t>
  </si>
  <si>
    <t>880X1880X270</t>
  </si>
  <si>
    <t>PADRAO#880#1880#270</t>
  </si>
  <si>
    <t>MELINDA BLUE</t>
  </si>
  <si>
    <t>1380X1880X270</t>
  </si>
  <si>
    <t>PADRAO#1380#1880#270</t>
  </si>
  <si>
    <t>MELINDA COM AUXÍLIO</t>
  </si>
  <si>
    <t>1580X1980X270</t>
  </si>
  <si>
    <t>PADRAO#1580#1980#270</t>
  </si>
  <si>
    <t>MELINDA POCKET</t>
  </si>
  <si>
    <t>1930X2030X270</t>
  </si>
  <si>
    <t>PADRAO#1930#2030#270</t>
  </si>
  <si>
    <t>MELINDA WHITE</t>
  </si>
  <si>
    <t>SLEEP INFANTIL D20</t>
  </si>
  <si>
    <t>SUPREMA D33</t>
  </si>
  <si>
    <t>SUPREMA D33 PLW</t>
  </si>
  <si>
    <t>SUPREMA PREMIUM D33</t>
  </si>
  <si>
    <t>880X1880X220</t>
  </si>
  <si>
    <t>PADRAO#880#1880#220</t>
  </si>
  <si>
    <t>UNIBOX D28 MAIS ESPUMA [BEGE/MARROM]</t>
  </si>
  <si>
    <t>1280X1880X220</t>
  </si>
  <si>
    <t>PADRAO#1280#1880#220</t>
  </si>
  <si>
    <t>UNIBOX D28 PREMIUM [CINZA/PLW]</t>
  </si>
  <si>
    <t>1380X1880X220</t>
  </si>
  <si>
    <t>PADRAO#1380#1880#220</t>
  </si>
  <si>
    <t>UNIBOX D28 PREMIUM BLACK</t>
  </si>
  <si>
    <t>1580X1980X220</t>
  </si>
  <si>
    <t>PADRAO#1580#1980#220</t>
  </si>
  <si>
    <t>UNIBOX D28 PREMIUM EURO</t>
  </si>
  <si>
    <t>1930X2030X220</t>
  </si>
  <si>
    <t>PADRAO#1930#2030#220</t>
  </si>
  <si>
    <t>UNIBOX D28 STAND</t>
  </si>
  <si>
    <t>UNIBOX D28 STAND BONJI</t>
  </si>
  <si>
    <t>SPRINGFLEX#PADRAO#880#1880#300</t>
  </si>
  <si>
    <t>880X1880X200</t>
  </si>
  <si>
    <t>PADRAO#880#1880#200</t>
  </si>
  <si>
    <t>1000X2000X200</t>
  </si>
  <si>
    <t>PADRAO#1000#2000#200</t>
  </si>
  <si>
    <t>1280X1880X200</t>
  </si>
  <si>
    <t>PADRAO#1280#1880#200</t>
  </si>
  <si>
    <t>1380X1880X200</t>
  </si>
  <si>
    <t>PADRAO#1380#1880#200</t>
  </si>
  <si>
    <t>1580X1980X200</t>
  </si>
  <si>
    <t>PADRAO#1580#1980#200</t>
  </si>
  <si>
    <t>1930X2030X200</t>
  </si>
  <si>
    <t>PADRAO#1930#2030#200</t>
  </si>
  <si>
    <t>880X1880X240</t>
  </si>
  <si>
    <t>PADRAO#880#1880#240</t>
  </si>
  <si>
    <t>1000X2000X240</t>
  </si>
  <si>
    <t>PADRAO#1000#2000#240</t>
  </si>
  <si>
    <t>1280X1880X240</t>
  </si>
  <si>
    <t>PADRAO#1280#1880#240</t>
  </si>
  <si>
    <t>1380X1880X240</t>
  </si>
  <si>
    <t>PADRAO#1380#1880#240</t>
  </si>
  <si>
    <t>1580X1980X240</t>
  </si>
  <si>
    <t>PADRAO#1580#1980#240</t>
  </si>
  <si>
    <t>1930X2030X240</t>
  </si>
  <si>
    <t>PADRAO#1930#2030#240</t>
  </si>
  <si>
    <t>1000X2000X250</t>
  </si>
  <si>
    <t>PADRAO#1000#2000#250</t>
  </si>
  <si>
    <t>1000X2000X300</t>
  </si>
  <si>
    <t>PADRAO#1000#2000#300</t>
  </si>
  <si>
    <t>BONJICINZA#PADRAO#880#1880#300</t>
  </si>
  <si>
    <t>780X1880X170</t>
  </si>
  <si>
    <t>PADRAO#780#1880#170</t>
  </si>
  <si>
    <t>880X1880X170</t>
  </si>
  <si>
    <t>PADRAO#880#1880#170</t>
  </si>
  <si>
    <t>1000X2000X170</t>
  </si>
  <si>
    <t>PADRAO#1000#2000#170</t>
  </si>
  <si>
    <t>1280X1880X170</t>
  </si>
  <si>
    <t>PADRAO#1280#1880#170</t>
  </si>
  <si>
    <t>1380X1880X170</t>
  </si>
  <si>
    <t>PADRAO#1380#1880#170</t>
  </si>
  <si>
    <t>780X1880X200</t>
  </si>
  <si>
    <t>PADRAO#780#1880#200</t>
  </si>
  <si>
    <t>780X1880X240</t>
  </si>
  <si>
    <t>PADRAO#780#1880#240</t>
  </si>
  <si>
    <t>780X1880X300</t>
  </si>
  <si>
    <t>PADRAO#780#1880#300</t>
  </si>
  <si>
    <t>SUEDETERRA#PADRAO#880#1880#300</t>
  </si>
  <si>
    <t>SUEDEPRETO#PADRAO#880#1880#300</t>
  </si>
  <si>
    <t>1930X2030X280</t>
  </si>
  <si>
    <t>PADRAO#1930#2030#280</t>
  </si>
  <si>
    <t>ROBUST#PADRAO#880#1880#300</t>
  </si>
  <si>
    <t>780X1880X120</t>
  </si>
  <si>
    <t>PADRAO#780#1880#120</t>
  </si>
  <si>
    <t>880X1880X120</t>
  </si>
  <si>
    <t>PADRAO#880#1880#120</t>
  </si>
  <si>
    <t>1000X2000X120</t>
  </si>
  <si>
    <t>PADRAO#1000#2000#120</t>
  </si>
  <si>
    <t>1280X1880X120</t>
  </si>
  <si>
    <t>PADRAO#1280#1880#120</t>
  </si>
  <si>
    <t>1380X1880X120</t>
  </si>
  <si>
    <t>PADRAO#1380#1880#120</t>
  </si>
  <si>
    <t>780X1880X140</t>
  </si>
  <si>
    <t>PADRAO#780#1880#140</t>
  </si>
  <si>
    <t>880X1880X140</t>
  </si>
  <si>
    <t>PADRAO#880#1880#140</t>
  </si>
  <si>
    <t>1000X2000X140</t>
  </si>
  <si>
    <t>PADRAO#1000#2000#140</t>
  </si>
  <si>
    <t>1280X1880X140</t>
  </si>
  <si>
    <t>PADRAO#1280#1880#140</t>
  </si>
  <si>
    <t>1380X1880X140</t>
  </si>
  <si>
    <t>PADRAO#1380#1880#140</t>
  </si>
  <si>
    <t>780X1880X80</t>
  </si>
  <si>
    <t>PADRAO#780#1880#80</t>
  </si>
  <si>
    <t>880X1880X80</t>
  </si>
  <si>
    <t>PADRAO#880#1880#80</t>
  </si>
  <si>
    <t>1280X1880X80</t>
  </si>
  <si>
    <t>PADRAO#1280#1880#80</t>
  </si>
  <si>
    <t>1380X1880X80</t>
  </si>
  <si>
    <t>PADRAO#1380#1880#80</t>
  </si>
  <si>
    <t>600X1300X100</t>
  </si>
  <si>
    <t>PADRAO#600#1300#100</t>
  </si>
  <si>
    <t>700X1300X100</t>
  </si>
  <si>
    <t>PADRAO#700#1300#100</t>
  </si>
  <si>
    <t>700X1500X100</t>
  </si>
  <si>
    <t>PADRAO#700#1500#100</t>
  </si>
  <si>
    <t>600X1300X120</t>
  </si>
  <si>
    <t>PADRAO#600#1300#120</t>
  </si>
  <si>
    <t>700X1300X120</t>
  </si>
  <si>
    <t>PADRAO#700#1300#120</t>
  </si>
  <si>
    <t>700X1500X120</t>
  </si>
  <si>
    <t>PADRAO#700#1500#120</t>
  </si>
  <si>
    <t>780X1880X100</t>
  </si>
  <si>
    <t>PADRAO#780#1880#100</t>
  </si>
  <si>
    <t>BLACK#PADRAO#880#1880#250</t>
  </si>
  <si>
    <t>BLACK#PADRAO#1000#2000#250</t>
  </si>
  <si>
    <t>BLACK#PADRAO#1280#1880#250</t>
  </si>
  <si>
    <t>BLACK#PADRAO#1380#1880#250</t>
  </si>
  <si>
    <t>BLACK#PADRAO#1580#1980#250</t>
  </si>
  <si>
    <t>BLACK#PADRAO#1930#2030#250</t>
  </si>
  <si>
    <t>BLACK#PADRAO#880#1880#300</t>
  </si>
  <si>
    <t>BLACK#PADRAO#1000#2000#300</t>
  </si>
  <si>
    <t>BLACK#PADRAO#1280#1880#300</t>
  </si>
  <si>
    <t>BLACK#PADRAO#1380#1880#300</t>
  </si>
  <si>
    <t>BLACK#PADRAO#1580#1980#300</t>
  </si>
  <si>
    <t>BLACK#PADRAO#1930#2030#300</t>
  </si>
  <si>
    <t>CINZA#PADRAO#880#1880#250</t>
  </si>
  <si>
    <t>CINZA#PADRAO#1000#2000#250</t>
  </si>
  <si>
    <t>CINZA#PADRAO#1280#1880#250</t>
  </si>
  <si>
    <t>CINZA#PADRAO#1380#1880#250</t>
  </si>
  <si>
    <t>CINZA#PADRAO#1580#1980#250</t>
  </si>
  <si>
    <t>CINZA#PADRAO#1930#2030#250</t>
  </si>
  <si>
    <t>CINZA#PADRAO#880#1880#300</t>
  </si>
  <si>
    <t>CINZA#PADRAO#1000#2000#300</t>
  </si>
  <si>
    <t>CINZA#PADRAO#1280#1880#300</t>
  </si>
  <si>
    <t>CINZA#PADRAO#1380#1880#300</t>
  </si>
  <si>
    <t>CINZA#PADRAO#1580#1980#300</t>
  </si>
  <si>
    <t>CINZA#PADRAO#1930#2030#300</t>
  </si>
  <si>
    <t>MARROM#PADRAO#880#1880#250</t>
  </si>
  <si>
    <t>MARROM#PADRAO#1000#2000#250</t>
  </si>
  <si>
    <t>MARROM#PADRAO#1280#1880#250</t>
  </si>
  <si>
    <t>MARROM#PADRAO#1380#1880#250</t>
  </si>
  <si>
    <t>MARROM#PADRAO#1580#1980#250</t>
  </si>
  <si>
    <t>MARROM#PADRAO#1930#2030#250</t>
  </si>
  <si>
    <t>MARROM#PADRAO#880#1880#300</t>
  </si>
  <si>
    <t>MARROM#PADRAO#1000#2000#300</t>
  </si>
  <si>
    <t>MARROM#PADRAO#1280#1880#300</t>
  </si>
  <si>
    <t>MARROM#PADRAO#1380#1880#300</t>
  </si>
  <si>
    <t>MARROM#PADRAO#1580#1980#300</t>
  </si>
  <si>
    <t>MARROM#PADRAO#1930#2030#300</t>
  </si>
  <si>
    <t>880X1880X520</t>
  </si>
  <si>
    <t>PADRAO#880#1880#520</t>
  </si>
  <si>
    <t>1380X1880X520</t>
  </si>
  <si>
    <t>PADRAO#1380#1880#520</t>
  </si>
  <si>
    <t>880X1880X500</t>
  </si>
  <si>
    <t>PADRAO#880#1880#500</t>
  </si>
  <si>
    <t>1380X1880X500</t>
  </si>
  <si>
    <t>PADRAO#1380#1880#500</t>
  </si>
  <si>
    <t>880X1880X450</t>
  </si>
  <si>
    <t>PADRAO#880#1880#450</t>
  </si>
  <si>
    <t>1380X1880X450</t>
  </si>
  <si>
    <t>PADRAO#1380#1880#450</t>
  </si>
  <si>
    <t>880X1880X420</t>
  </si>
  <si>
    <t>PADRAO#880#1880#420</t>
  </si>
  <si>
    <t>MILLENIUM#PADRAO#880#1880#300</t>
  </si>
  <si>
    <t>880X1880X360</t>
  </si>
  <si>
    <t>BENEFIT#PADRAO#880#1880#360</t>
  </si>
  <si>
    <t>1380X1880X360</t>
  </si>
  <si>
    <t>BENEFIT#PADRAO#1380#1880#360</t>
  </si>
  <si>
    <t>1580X1980X360</t>
  </si>
  <si>
    <t>BENEFIT#PADRAO#1580#1980#360</t>
  </si>
  <si>
    <t>1930X2030X360</t>
  </si>
  <si>
    <t>BENEFIT#PADRAO#1930#2030#360</t>
  </si>
  <si>
    <t>L. PREMIUM</t>
  </si>
  <si>
    <t>880X1880X260</t>
  </si>
  <si>
    <t>PADRAO#880#1880#260</t>
  </si>
  <si>
    <t>1380X1880X260</t>
  </si>
  <si>
    <t>PADRAO#1380#1880#260</t>
  </si>
  <si>
    <t>1580X1980X260</t>
  </si>
  <si>
    <t>PADRAO#1580#1980#260</t>
  </si>
  <si>
    <t>1930X2030X260</t>
  </si>
  <si>
    <t>PADRAO#1930#2030#260</t>
  </si>
  <si>
    <t>ORIGINALE#PADRAO#880#1880#300</t>
  </si>
  <si>
    <t>NOBILE#PADRAO#880#1880#300</t>
  </si>
  <si>
    <t>NOBILE#PADRAO#1000#2000#300</t>
  </si>
  <si>
    <t>880X1880X330</t>
  </si>
  <si>
    <t>PADRAO#880#1880#330</t>
  </si>
  <si>
    <t>1380X1880X330</t>
  </si>
  <si>
    <t>PADRAO#1380#1880#330</t>
  </si>
  <si>
    <t>1580X1980X330</t>
  </si>
  <si>
    <t>PADRAO#1580#1980#330</t>
  </si>
  <si>
    <t>1930X2030X330</t>
  </si>
  <si>
    <t>PADRAO#1930#2030#330</t>
  </si>
  <si>
    <t>MAESTRO#PADRAO#880#1880#300</t>
  </si>
  <si>
    <t>ECOROYAL#PADRAO#880#1880#300</t>
  </si>
  <si>
    <t>SUPERIORE#PADRAO#880#1880#300</t>
  </si>
  <si>
    <t>1000X2000X260</t>
  </si>
  <si>
    <t>PADRAO#1000#2000#260</t>
  </si>
  <si>
    <t>MAXFIRM#PADRAO#880#1880#300</t>
  </si>
  <si>
    <t>PADRAO#770#1880#300</t>
  </si>
  <si>
    <t>COLC COMFORT</t>
  </si>
  <si>
    <t>COLC SLEEP INFANTIL</t>
  </si>
  <si>
    <t>BOX BAU</t>
  </si>
  <si>
    <t>ECOROYAL#PADRAO#880#1880#360</t>
  </si>
  <si>
    <t>ECOROYAL#PADRAO#1380#1880#360</t>
  </si>
  <si>
    <t>BOX BIPARTIDO 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</si>
</sst>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theme="1" tint="0.34998626667073579"/>
      <name val="Bahnschrift SemiCondensed"/>
      <family val="2"/>
    </font>
    <font>
      <sz val="15"/>
      <color rgb="FF0070C0"/>
      <name val="Bahnschrift SemiCondensed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7"/>
      <color theme="0"/>
      <name val="Aptos Narrow"/>
      <family val="2"/>
      <scheme val="minor"/>
    </font>
    <font>
      <sz val="10"/>
      <color theme="1" tint="0.34998626667073579"/>
      <name val="Calibri"/>
      <family val="2"/>
    </font>
    <font>
      <b/>
      <sz val="10"/>
      <color theme="1" tint="0.34998626667073579"/>
      <name val="Calibri"/>
      <family val="2"/>
    </font>
    <font>
      <sz val="10"/>
      <color rgb="FF0070C0"/>
      <name val="Calibri"/>
      <family val="2"/>
    </font>
    <font>
      <sz val="10"/>
      <color theme="8" tint="-0.249977111117893"/>
      <name val="Calibr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" fontId="4" fillId="0" borderId="0" xfId="1" applyNumberFormat="1" applyFont="1"/>
    <xf numFmtId="0" fontId="0" fillId="0" borderId="1" xfId="0" applyBorder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6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4" fontId="9" fillId="0" borderId="6" xfId="1" applyNumberFormat="1" applyFont="1" applyFill="1" applyBorder="1" applyAlignment="1">
      <alignment vertical="center"/>
    </xf>
    <xf numFmtId="4" fontId="8" fillId="0" borderId="6" xfId="0" quotePrefix="1" applyNumberFormat="1" applyFont="1" applyBorder="1" applyAlignment="1">
      <alignment vertical="center"/>
    </xf>
    <xf numFmtId="2" fontId="8" fillId="0" borderId="6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10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 wrapText="1"/>
    </xf>
    <xf numFmtId="0" fontId="8" fillId="0" borderId="6" xfId="0" quotePrefix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" fontId="9" fillId="0" borderId="6" xfId="1" applyNumberFormat="1" applyFont="1" applyFill="1" applyBorder="1" applyAlignment="1">
      <alignment vertical="center" wrapText="1"/>
    </xf>
    <xf numFmtId="4" fontId="8" fillId="0" borderId="6" xfId="0" quotePrefix="1" applyNumberFormat="1" applyFont="1" applyBorder="1" applyAlignment="1">
      <alignment vertical="center" wrapText="1"/>
    </xf>
    <xf numFmtId="2" fontId="8" fillId="0" borderId="6" xfId="0" applyNumberFormat="1" applyFont="1" applyBorder="1" applyAlignment="1">
      <alignment horizontal="center" wrapText="1"/>
    </xf>
    <xf numFmtId="2" fontId="8" fillId="0" borderId="7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8" fillId="0" borderId="6" xfId="0" applyFont="1" applyBorder="1" applyAlignment="1">
      <alignment vertical="center"/>
    </xf>
    <xf numFmtId="4" fontId="8" fillId="0" borderId="8" xfId="0" quotePrefix="1" applyNumberFormat="1" applyFont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4" fontId="9" fillId="0" borderId="9" xfId="1" applyNumberFormat="1" applyFont="1" applyFill="1" applyBorder="1" applyAlignment="1">
      <alignment vertical="center" wrapText="1"/>
    </xf>
    <xf numFmtId="4" fontId="8" fillId="0" borderId="9" xfId="0" quotePrefix="1" applyNumberFormat="1" applyFont="1" applyBorder="1" applyAlignment="1">
      <alignment vertical="center" wrapText="1"/>
    </xf>
    <xf numFmtId="2" fontId="8" fillId="0" borderId="9" xfId="0" applyNumberFormat="1" applyFont="1" applyBorder="1" applyAlignment="1">
      <alignment horizontal="center" wrapText="1"/>
    </xf>
    <xf numFmtId="2" fontId="8" fillId="0" borderId="10" xfId="0" applyNumberFormat="1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" fontId="8" fillId="0" borderId="8" xfId="0" quotePrefix="1" applyNumberFormat="1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4" fontId="8" fillId="0" borderId="11" xfId="0" quotePrefix="1" applyNumberFormat="1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4" fontId="8" fillId="0" borderId="8" xfId="0" applyNumberFormat="1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" fontId="9" fillId="0" borderId="9" xfId="1" applyNumberFormat="1" applyFont="1" applyFill="1" applyBorder="1" applyAlignment="1">
      <alignment vertical="center"/>
    </xf>
    <xf numFmtId="2" fontId="8" fillId="0" borderId="9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</cellXfs>
  <cellStyles count="2">
    <cellStyle name="Moeda 3" xfId="1" xr:uid="{C86A2A82-8862-43BA-B660-CD5905C52C3A}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top style="thin">
          <color theme="0" tint="-0.14996795556505021"/>
        </top>
      </border>
    </dxf>
    <dxf>
      <border outline="0">
        <bottom style="thin">
          <color theme="0" tint="-0.14996795556505021"/>
        </bottom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top style="thin">
          <color theme="0" tint="-0.14996795556505021"/>
        </top>
      </border>
    </dxf>
    <dxf>
      <border outline="0">
        <bottom style="thin">
          <color theme="0" tint="-0.14996795556505021"/>
        </bottom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46</xdr:row>
      <xdr:rowOff>0</xdr:rowOff>
    </xdr:from>
    <xdr:ext cx="184731" cy="217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0120326-F827-452F-AE52-D8183D389469}"/>
            </a:ext>
          </a:extLst>
        </xdr:cNvPr>
        <xdr:cNvSpPr txBox="1"/>
      </xdr:nvSpPr>
      <xdr:spPr>
        <a:xfrm>
          <a:off x="5648325" y="81629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274</xdr:row>
      <xdr:rowOff>0</xdr:rowOff>
    </xdr:from>
    <xdr:ext cx="184731" cy="217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F999596-0CBC-4492-962C-46DCEE93D80C}"/>
            </a:ext>
          </a:extLst>
        </xdr:cNvPr>
        <xdr:cNvSpPr txBox="1"/>
      </xdr:nvSpPr>
      <xdr:spPr>
        <a:xfrm>
          <a:off x="5648325" y="494252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DDA19FB-8723-4922-BECC-585447DC5884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366</xdr:row>
      <xdr:rowOff>0</xdr:rowOff>
    </xdr:from>
    <xdr:ext cx="184731" cy="217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4FFC468-E9C6-4BBF-BBDD-0C5D64D2443B}"/>
            </a:ext>
          </a:extLst>
        </xdr:cNvPr>
        <xdr:cNvSpPr txBox="1"/>
      </xdr:nvSpPr>
      <xdr:spPr>
        <a:xfrm>
          <a:off x="5648325" y="660749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8BE2663-86B6-4969-997F-471552763039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0389E69-F045-4CE2-A737-2398B52333C1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207877" cy="217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D7105C8-65EE-4D15-80C5-31D767B5829F}"/>
            </a:ext>
          </a:extLst>
        </xdr:cNvPr>
        <xdr:cNvSpPr txBox="1"/>
      </xdr:nvSpPr>
      <xdr:spPr>
        <a:xfrm>
          <a:off x="5648325" y="56483250"/>
          <a:ext cx="20787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 baseline="0"/>
            <a:t> </a:t>
          </a:r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418FC380-ACF6-41EF-9B84-A156D31BD1D5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5806CD7-F7A9-4767-9EF7-6D958F1EA3DE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47343E89-37DC-47F5-872E-E6C148EF2A40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B2496F20-807D-4205-B194-3F916A74C73F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838DC1D-F7A5-4EB0-87E1-A978824E7CB9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64F0765C-D9BD-49F6-AD0B-B11EA329BA74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310</xdr:row>
      <xdr:rowOff>0</xdr:rowOff>
    </xdr:from>
    <xdr:ext cx="184731" cy="217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619C56E3-41EE-431B-BC74-75DDC069BF77}"/>
            </a:ext>
          </a:extLst>
        </xdr:cNvPr>
        <xdr:cNvSpPr txBox="1"/>
      </xdr:nvSpPr>
      <xdr:spPr>
        <a:xfrm>
          <a:off x="5648325" y="559403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299</xdr:row>
      <xdr:rowOff>0</xdr:rowOff>
    </xdr:from>
    <xdr:ext cx="184731" cy="217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216208C-573E-4B0D-86AC-8307C3A90C41}"/>
            </a:ext>
          </a:extLst>
        </xdr:cNvPr>
        <xdr:cNvSpPr txBox="1"/>
      </xdr:nvSpPr>
      <xdr:spPr>
        <a:xfrm>
          <a:off x="5648325" y="539496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302</xdr:row>
      <xdr:rowOff>0</xdr:rowOff>
    </xdr:from>
    <xdr:ext cx="184731" cy="217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BF2E33F-539F-432E-99C5-83AD40D27930}"/>
            </a:ext>
          </a:extLst>
        </xdr:cNvPr>
        <xdr:cNvSpPr txBox="1"/>
      </xdr:nvSpPr>
      <xdr:spPr>
        <a:xfrm>
          <a:off x="5648325" y="544925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E7CEB4E-6BEC-4968-BEF4-BB8D62262D52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F9D2E3A0-3DD3-45A4-84F7-8CF09EF7A231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F905FFA5-6F2D-4C81-868B-976C1AD67422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DC6C8544-FB27-4AEC-BFBD-A1D8B6B92F45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1DF6A3C6-0B4C-4C4C-8E76-4B8D386BFF5A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6FB0526A-258E-428D-AF0C-EE586FEE1A36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8D93FF93-D266-4F75-8566-E2CF36B74611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8A14E7C6-7179-4C7A-AB11-7DEFE1C4C286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C0C3A5B9-3F3C-4B51-B2F3-829D0E84BCC4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85E37F0-FF49-457C-9565-53D49DFEC24F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19617F1-B745-47BB-B113-40C443F302E2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6AECC250-4ECE-4AC8-B9FB-A7597A90DA07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BCCBB733-79A1-4123-81DE-781F52237463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24B34058-B282-4F4B-962C-1908A4A355F1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E4E3E9C1-72BE-4752-8346-465FEAF73D7C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86442187-D134-404D-A1EC-A01EEE18DE7C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C689C09F-1AAC-40E4-B168-879DE8509519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313</xdr:row>
      <xdr:rowOff>0</xdr:rowOff>
    </xdr:from>
    <xdr:ext cx="184731" cy="217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5B3C2D8A-3810-4B67-957B-63E6B000434A}"/>
            </a:ext>
          </a:extLst>
        </xdr:cNvPr>
        <xdr:cNvSpPr txBox="1"/>
      </xdr:nvSpPr>
      <xdr:spPr>
        <a:xfrm>
          <a:off x="5648325" y="564832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79786C95-9CC9-406B-80DE-D167ED53CFA3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108DE163-DA13-43FE-BBF2-FF090CBA7CCD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C852421E-FED7-422D-AFA9-3A2109E19BD7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60652D1B-B343-4537-B14A-58553A819825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3FC55FB1-4DE2-4218-95CB-335B3190EF4A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A8D2381B-03B4-471C-BD36-BD63E06B0006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8BC0C6F1-47B1-46FE-BD67-18175DC92CCB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295</xdr:row>
      <xdr:rowOff>0</xdr:rowOff>
    </xdr:from>
    <xdr:ext cx="184731" cy="217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BA7A148B-C23C-4C5C-AEFD-3372CABCE62B}"/>
            </a:ext>
          </a:extLst>
        </xdr:cNvPr>
        <xdr:cNvSpPr txBox="1"/>
      </xdr:nvSpPr>
      <xdr:spPr>
        <a:xfrm>
          <a:off x="5648325" y="532257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7CAC7247-A26D-4AFC-A63F-839A33E01C43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294</xdr:row>
      <xdr:rowOff>0</xdr:rowOff>
    </xdr:from>
    <xdr:ext cx="184731" cy="217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AFABDC02-9EAA-4F27-9693-B2260F89F424}"/>
            </a:ext>
          </a:extLst>
        </xdr:cNvPr>
        <xdr:cNvSpPr txBox="1"/>
      </xdr:nvSpPr>
      <xdr:spPr>
        <a:xfrm>
          <a:off x="5648325" y="530447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9E377D3C-B87D-457D-A4BB-038A2F9FDE48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48C24444-3B65-43EB-959D-E8771A4D9028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C2614337-851C-4E0E-86C7-B69D870F66BF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5F3FE3A9-F046-49E4-9653-67AA4FC2799B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0C1C281A-DE8D-4143-9954-3B7E6A6890C3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55F94505-0157-4B47-92A5-01CE45640D69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54CDFB97-54E4-4DEC-9A5B-81C75DBAF29C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78408376-A4E1-4B5B-B957-A64519C7E0C5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D807C4C2-A3AB-4EDD-A282-9769E0F746A0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298</xdr:row>
      <xdr:rowOff>0</xdr:rowOff>
    </xdr:from>
    <xdr:ext cx="184731" cy="217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3718CA38-C218-419D-A01B-70A92DC274FE}"/>
            </a:ext>
          </a:extLst>
        </xdr:cNvPr>
        <xdr:cNvSpPr txBox="1"/>
      </xdr:nvSpPr>
      <xdr:spPr>
        <a:xfrm>
          <a:off x="5648325" y="5376862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301</xdr:row>
      <xdr:rowOff>0</xdr:rowOff>
    </xdr:from>
    <xdr:ext cx="184731" cy="217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2D2CCA24-BA8B-4A04-8D9C-5BCBDF0A3ADA}"/>
            </a:ext>
          </a:extLst>
        </xdr:cNvPr>
        <xdr:cNvSpPr txBox="1"/>
      </xdr:nvSpPr>
      <xdr:spPr>
        <a:xfrm>
          <a:off x="5648325" y="543115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  <xdr:oneCellAnchor>
    <xdr:from>
      <xdr:col>6</xdr:col>
      <xdr:colOff>0</xdr:colOff>
      <xdr:row>380</xdr:row>
      <xdr:rowOff>0</xdr:rowOff>
    </xdr:from>
    <xdr:ext cx="184731" cy="217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80A354B3-CAAE-4DBC-AFCA-89C892BFEE45}"/>
            </a:ext>
          </a:extLst>
        </xdr:cNvPr>
        <xdr:cNvSpPr txBox="1"/>
      </xdr:nvSpPr>
      <xdr:spPr>
        <a:xfrm>
          <a:off x="5648325" y="68608575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800" baseline="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F53F9-FEA6-4AAC-BCD9-DD20B5800804}" name="Tb_Dados" displayName="Tb_Dados" ref="B5:L488" totalsRowShown="0" headerRowDxfId="21" dataDxfId="20" headerRowBorderDxfId="18" tableBorderDxfId="19" totalsRowBorderDxfId="17">
  <autoFilter ref="B5:L488" xr:uid="{D3B6569E-2BD6-4EE6-BC9F-9A8690BFED6D}"/>
  <tableColumns count="11">
    <tableColumn id="1" xr3:uid="{B751378F-E33C-4F06-A2BF-2E41C0533580}" name="CHAVE" dataDxfId="16"/>
    <tableColumn id="2" xr3:uid="{179F32FA-FD79-4AE7-8D03-E9B56BE3AED5}" name="CÓD" dataDxfId="15"/>
    <tableColumn id="3" xr3:uid="{4C6ECEC7-E575-45C8-B10C-1E92DDDC0C9B}" name="PRODUTO" dataDxfId="14"/>
    <tableColumn id="4" xr3:uid="{4F8B573F-60BA-4ACF-9277-88E9245D10D7}" name="MEDIDA" dataDxfId="13"/>
    <tableColumn id="5" xr3:uid="{BC94DB79-FFBB-4AD7-B933-80685DC47E83}" name="À VISTA" dataDxfId="12" dataCellStyle="Moeda 3"/>
    <tableColumn id="6" xr3:uid="{BA1686AD-0701-42B1-9171-F15C205485A8}" name="CUSTO" dataDxfId="11"/>
    <tableColumn id="7" xr3:uid="{72461C84-B81D-44FA-A1D4-6508F6D5BBFB}" name="LARG" dataDxfId="10">
      <calculatedColumnFormula>IF($E6="","",_xlfn.TEXTBEFORE($E6,"X")/1000)</calculatedColumnFormula>
    </tableColumn>
    <tableColumn id="8" xr3:uid="{6971AC73-5E56-46C2-930C-0A5AE195EA2B}" name="COMP" dataDxfId="9">
      <calculatedColumnFormula>IF($E6="","",_xlfn.TEXTBEFORE(_xlfn.TEXTAFTER($E6,"X"),"X")/1000)</calculatedColumnFormula>
    </tableColumn>
    <tableColumn id="9" xr3:uid="{5B47E4B4-F324-4B4E-BE40-4A446CD79A66}" name="ALT" dataDxfId="8">
      <calculatedColumnFormula>IF($E6="","",_xlfn.TEXTAFTER($E6,"X",2)/1000)</calculatedColumnFormula>
    </tableColumn>
    <tableColumn id="10" xr3:uid="{64A583E1-85D4-4EA6-9621-C1E1CD1F89A7}" name="M³" dataDxfId="7">
      <calculatedColumnFormula>H6*I6*J6*10</calculatedColumnFormula>
    </tableColumn>
    <tableColumn id="11" xr3:uid="{97A29259-A5F3-4261-9995-93419F8A3DB6}" name="CONTROLE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F14A5-65E7-47C5-B1E7-BC74B1507E6B}" name="Produtos" displayName="Produtos" ref="N5:N123" totalsRowShown="0" headerRowDxfId="5" dataDxfId="4" headerRowBorderDxfId="2" tableBorderDxfId="3" totalsRowBorderDxfId="1">
  <autoFilter ref="N5:N123" xr:uid="{25DEBB31-F05E-4D82-B349-ECACF2AAB053}"/>
  <tableColumns count="1">
    <tableColumn id="1" xr3:uid="{96D59566-35BC-4AE9-A9B8-C15C40327768}" name="PRODUT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9F2F-4BC2-4B6D-B1F0-B7B7A042AFFD}">
  <dimension ref="A2:P499"/>
  <sheetViews>
    <sheetView showGridLines="0" tabSelected="1" zoomScaleNormal="100" workbookViewId="0">
      <pane ySplit="5" topLeftCell="A6" activePane="bottomLeft" state="frozen"/>
      <selection pane="bottomLeft" activeCell="F14" sqref="F14"/>
    </sheetView>
  </sheetViews>
  <sheetFormatPr defaultRowHeight="14.4" x14ac:dyDescent="0.3"/>
  <cols>
    <col min="1" max="1" width="1.77734375" customWidth="1"/>
    <col min="2" max="2" width="10.6640625" customWidth="1"/>
    <col min="3" max="3" width="8.77734375" customWidth="1"/>
    <col min="4" max="4" width="34.44140625" bestFit="1" customWidth="1"/>
    <col min="5" max="5" width="15.77734375" customWidth="1"/>
    <col min="6" max="7" width="10.77734375" customWidth="1"/>
    <col min="8" max="11" width="8.77734375" customWidth="1"/>
    <col min="12" max="12" width="37.109375" bestFit="1" customWidth="1"/>
    <col min="14" max="14" width="37.109375" customWidth="1"/>
    <col min="16" max="16" width="13.21875" customWidth="1"/>
  </cols>
  <sheetData>
    <row r="2" spans="1:16" ht="18.600000000000001" x14ac:dyDescent="0.3">
      <c r="B2" s="1" t="s">
        <v>0</v>
      </c>
      <c r="C2" s="2"/>
      <c r="D2" s="2"/>
      <c r="E2" s="3"/>
      <c r="F2" s="4"/>
    </row>
    <row r="3" spans="1:16" ht="4.05" customHeight="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6" ht="7.95" customHeight="1" x14ac:dyDescent="0.3"/>
    <row r="5" spans="1:16" x14ac:dyDescent="0.3">
      <c r="B5" s="6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8" t="s">
        <v>9</v>
      </c>
      <c r="K5" s="7" t="s">
        <v>10</v>
      </c>
      <c r="L5" s="7" t="s">
        <v>11</v>
      </c>
      <c r="N5" s="9" t="s">
        <v>3</v>
      </c>
      <c r="P5" s="10" t="s">
        <v>12</v>
      </c>
    </row>
    <row r="6" spans="1:16" x14ac:dyDescent="0.3">
      <c r="A6" s="11" t="str">
        <f>Tb_Dados[[#This Row],[CÓD]]&amp;Tb_Dados[[#This Row],[PRODUTO]]&amp;Tb_Dados[[#This Row],[MEDIDA]]</f>
        <v>2760COLC MAJESTIC880X1880X350</v>
      </c>
      <c r="B6" s="12" t="s">
        <v>13</v>
      </c>
      <c r="C6" s="13">
        <v>2760</v>
      </c>
      <c r="D6" s="14" t="s">
        <v>14</v>
      </c>
      <c r="E6" s="13" t="s">
        <v>15</v>
      </c>
      <c r="F6" s="15">
        <v>508.10115555358055</v>
      </c>
      <c r="G6" s="16">
        <v>254.05057777679028</v>
      </c>
      <c r="H6" s="17">
        <f>IF($E6="","",_xlfn.TEXTBEFORE($E6,"X")/1000)</f>
        <v>0.88</v>
      </c>
      <c r="I6" s="17">
        <f>IF($E6="","",_xlfn.TEXTBEFORE(_xlfn.TEXTAFTER($E6,"X"),"X")/1000)</f>
        <v>1.88</v>
      </c>
      <c r="J6" s="18">
        <f>IF($E6="","",_xlfn.TEXTAFTER($E6,"X",2)/1000)</f>
        <v>0.35</v>
      </c>
      <c r="K6" s="18">
        <f t="shared" ref="K6:K69" si="0">H6*I6*J6*10</f>
        <v>5.7903999999999991</v>
      </c>
      <c r="L6" s="14" t="s">
        <v>16</v>
      </c>
      <c r="N6" s="19" t="s">
        <v>17</v>
      </c>
    </row>
    <row r="7" spans="1:16" x14ac:dyDescent="0.3">
      <c r="A7" s="11" t="str">
        <f>Tb_Dados[[#This Row],[CÓD]]&amp;Tb_Dados[[#This Row],[PRODUTO]]&amp;Tb_Dados[[#This Row],[MEDIDA]]</f>
        <v>2760COLC MAJESTIC1280X1880X350</v>
      </c>
      <c r="B7" s="12" t="s">
        <v>13</v>
      </c>
      <c r="C7" s="13">
        <v>2760</v>
      </c>
      <c r="D7" s="14" t="s">
        <v>14</v>
      </c>
      <c r="E7" s="13" t="s">
        <v>18</v>
      </c>
      <c r="F7" s="15">
        <v>745.36046449984462</v>
      </c>
      <c r="G7" s="16">
        <v>372.68023224992231</v>
      </c>
      <c r="H7" s="17">
        <f t="shared" ref="H7:H70" si="1">IF($E7="","",_xlfn.TEXTBEFORE($E7,"X")/1000)</f>
        <v>1.28</v>
      </c>
      <c r="I7" s="17">
        <f t="shared" ref="I7:I70" si="2">IF($E7="","",_xlfn.TEXTBEFORE(_xlfn.TEXTAFTER($E7,"X"),"X")/1000)</f>
        <v>1.88</v>
      </c>
      <c r="J7" s="18">
        <f t="shared" ref="J7:J70" si="3">IF($E7="","",_xlfn.TEXTAFTER($E7,"X",2)/1000)</f>
        <v>0.35</v>
      </c>
      <c r="K7" s="18">
        <f t="shared" si="0"/>
        <v>8.4223999999999997</v>
      </c>
      <c r="L7" s="14" t="s">
        <v>19</v>
      </c>
      <c r="N7" s="19" t="s">
        <v>20</v>
      </c>
    </row>
    <row r="8" spans="1:16" x14ac:dyDescent="0.3">
      <c r="A8" s="11" t="str">
        <f>Tb_Dados[[#This Row],[CÓD]]&amp;Tb_Dados[[#This Row],[PRODUTO]]&amp;Tb_Dados[[#This Row],[MEDIDA]]</f>
        <v>2760COLC MAJESTIC1380X1880X350</v>
      </c>
      <c r="B8" s="12" t="s">
        <v>13</v>
      </c>
      <c r="C8" s="13">
        <v>2760</v>
      </c>
      <c r="D8" s="14" t="s">
        <v>14</v>
      </c>
      <c r="E8" s="13" t="s">
        <v>21</v>
      </c>
      <c r="F8" s="15">
        <v>745.36046449984462</v>
      </c>
      <c r="G8" s="16">
        <v>372.68023224992231</v>
      </c>
      <c r="H8" s="17">
        <f t="shared" si="1"/>
        <v>1.38</v>
      </c>
      <c r="I8" s="17">
        <f t="shared" si="2"/>
        <v>1.88</v>
      </c>
      <c r="J8" s="18">
        <f t="shared" si="3"/>
        <v>0.35</v>
      </c>
      <c r="K8" s="18">
        <f t="shared" si="0"/>
        <v>9.0803999999999991</v>
      </c>
      <c r="L8" s="14" t="s">
        <v>22</v>
      </c>
      <c r="N8" s="20" t="s">
        <v>23</v>
      </c>
    </row>
    <row r="9" spans="1:16" x14ac:dyDescent="0.3">
      <c r="A9" s="11" t="str">
        <f>Tb_Dados[[#This Row],[CÓD]]&amp;Tb_Dados[[#This Row],[PRODUTO]]&amp;Tb_Dados[[#This Row],[MEDIDA]]</f>
        <v>2760COLC MAJESTIC1580X1980X350</v>
      </c>
      <c r="B9" s="12" t="s">
        <v>13</v>
      </c>
      <c r="C9" s="13">
        <v>2760</v>
      </c>
      <c r="D9" s="14" t="s">
        <v>14</v>
      </c>
      <c r="E9" s="13" t="s">
        <v>24</v>
      </c>
      <c r="F9" s="15">
        <v>875.43804380445113</v>
      </c>
      <c r="G9" s="16">
        <v>437.71902190222556</v>
      </c>
      <c r="H9" s="17">
        <f t="shared" si="1"/>
        <v>1.58</v>
      </c>
      <c r="I9" s="17">
        <f t="shared" si="2"/>
        <v>1.98</v>
      </c>
      <c r="J9" s="18">
        <f t="shared" si="3"/>
        <v>0.35</v>
      </c>
      <c r="K9" s="18">
        <f t="shared" si="0"/>
        <v>10.949400000000001</v>
      </c>
      <c r="L9" s="14" t="s">
        <v>25</v>
      </c>
      <c r="N9" s="20" t="s">
        <v>26</v>
      </c>
    </row>
    <row r="10" spans="1:16" x14ac:dyDescent="0.3">
      <c r="A10" s="11" t="str">
        <f>Tb_Dados[[#This Row],[CÓD]]&amp;Tb_Dados[[#This Row],[PRODUTO]]&amp;Tb_Dados[[#This Row],[MEDIDA]]</f>
        <v>2760COLC MAJESTIC1930X2030X350</v>
      </c>
      <c r="B10" s="12" t="s">
        <v>13</v>
      </c>
      <c r="C10" s="13">
        <v>2760</v>
      </c>
      <c r="D10" s="14" t="s">
        <v>14</v>
      </c>
      <c r="E10" s="13" t="s">
        <v>27</v>
      </c>
      <c r="F10" s="15">
        <v>1076.6029459024339</v>
      </c>
      <c r="G10" s="16">
        <v>538.30147295121697</v>
      </c>
      <c r="H10" s="17">
        <f t="shared" si="1"/>
        <v>1.93</v>
      </c>
      <c r="I10" s="17">
        <f t="shared" si="2"/>
        <v>2.0299999999999998</v>
      </c>
      <c r="J10" s="18">
        <f t="shared" si="3"/>
        <v>0.35</v>
      </c>
      <c r="K10" s="18">
        <f t="shared" si="0"/>
        <v>13.712649999999996</v>
      </c>
      <c r="L10" s="14" t="s">
        <v>28</v>
      </c>
      <c r="N10" s="19" t="s">
        <v>29</v>
      </c>
    </row>
    <row r="11" spans="1:16" x14ac:dyDescent="0.3">
      <c r="A11" s="11" t="str">
        <f>Tb_Dados[[#This Row],[CÓD]]&amp;Tb_Dados[[#This Row],[PRODUTO]]&amp;Tb_Dados[[#This Row],[MEDIDA]]</f>
        <v>3032BOX MAJESTIC880X1880X250</v>
      </c>
      <c r="B11" s="12" t="s">
        <v>13</v>
      </c>
      <c r="C11" s="13">
        <v>3032</v>
      </c>
      <c r="D11" s="14" t="s">
        <v>30</v>
      </c>
      <c r="E11" s="13" t="s">
        <v>31</v>
      </c>
      <c r="F11" s="15">
        <v>185.69636451733729</v>
      </c>
      <c r="G11" s="16">
        <v>92.848182258668643</v>
      </c>
      <c r="H11" s="17">
        <f t="shared" si="1"/>
        <v>0.88</v>
      </c>
      <c r="I11" s="17">
        <f t="shared" si="2"/>
        <v>1.88</v>
      </c>
      <c r="J11" s="18">
        <f t="shared" si="3"/>
        <v>0.25</v>
      </c>
      <c r="K11" s="18">
        <f t="shared" si="0"/>
        <v>4.1359999999999992</v>
      </c>
      <c r="L11" s="14" t="s">
        <v>32</v>
      </c>
      <c r="N11" s="20" t="s">
        <v>33</v>
      </c>
    </row>
    <row r="12" spans="1:16" x14ac:dyDescent="0.3">
      <c r="A12" s="11" t="str">
        <f>Tb_Dados[[#This Row],[CÓD]]&amp;Tb_Dados[[#This Row],[PRODUTO]]&amp;Tb_Dados[[#This Row],[MEDIDA]]</f>
        <v>3032BOX MAJESTIC1280X1880X250</v>
      </c>
      <c r="B12" s="12" t="s">
        <v>13</v>
      </c>
      <c r="C12" s="13">
        <v>3032</v>
      </c>
      <c r="D12" s="14" t="s">
        <v>30</v>
      </c>
      <c r="E12" s="13" t="s">
        <v>34</v>
      </c>
      <c r="F12" s="15">
        <v>240.78508124842486</v>
      </c>
      <c r="G12" s="16">
        <v>120.39254062421243</v>
      </c>
      <c r="H12" s="17">
        <f t="shared" si="1"/>
        <v>1.28</v>
      </c>
      <c r="I12" s="17">
        <f t="shared" si="2"/>
        <v>1.88</v>
      </c>
      <c r="J12" s="18">
        <f t="shared" si="3"/>
        <v>0.25</v>
      </c>
      <c r="K12" s="18">
        <f t="shared" si="0"/>
        <v>6.016</v>
      </c>
      <c r="L12" s="14" t="s">
        <v>35</v>
      </c>
      <c r="N12" s="20" t="s">
        <v>36</v>
      </c>
    </row>
    <row r="13" spans="1:16" x14ac:dyDescent="0.3">
      <c r="A13" s="11" t="str">
        <f>Tb_Dados[[#This Row],[CÓD]]&amp;Tb_Dados[[#This Row],[PRODUTO]]&amp;Tb_Dados[[#This Row],[MEDIDA]]</f>
        <v>3032BOX MAJESTIC1380X1880X250</v>
      </c>
      <c r="B13" s="12" t="s">
        <v>13</v>
      </c>
      <c r="C13" s="13">
        <v>3032</v>
      </c>
      <c r="D13" s="14" t="s">
        <v>30</v>
      </c>
      <c r="E13" s="13" t="s">
        <v>37</v>
      </c>
      <c r="F13" s="15">
        <v>240.78508124842486</v>
      </c>
      <c r="G13" s="16">
        <v>120.39254062421243</v>
      </c>
      <c r="H13" s="17">
        <f t="shared" si="1"/>
        <v>1.38</v>
      </c>
      <c r="I13" s="17">
        <f t="shared" si="2"/>
        <v>1.88</v>
      </c>
      <c r="J13" s="18">
        <f t="shared" si="3"/>
        <v>0.25</v>
      </c>
      <c r="K13" s="18">
        <f t="shared" si="0"/>
        <v>6.4859999999999998</v>
      </c>
      <c r="L13" s="14" t="s">
        <v>38</v>
      </c>
      <c r="N13" s="19" t="s">
        <v>39</v>
      </c>
    </row>
    <row r="14" spans="1:16" x14ac:dyDescent="0.3">
      <c r="A14" s="11" t="str">
        <f>Tb_Dados[[#This Row],[CÓD]]&amp;Tb_Dados[[#This Row],[PRODUTO]]&amp;Tb_Dados[[#This Row],[MEDIDA]]</f>
        <v>3479BOX BIPARTIDO MAJESTIC1580X1980X250</v>
      </c>
      <c r="B14" s="12" t="s">
        <v>13</v>
      </c>
      <c r="C14" s="13">
        <v>3479</v>
      </c>
      <c r="D14" s="14" t="s">
        <v>40</v>
      </c>
      <c r="E14" s="13" t="s">
        <v>41</v>
      </c>
      <c r="F14" s="15">
        <v>369.52091809067457</v>
      </c>
      <c r="G14" s="16">
        <v>92.380229522668643</v>
      </c>
      <c r="H14" s="17">
        <f t="shared" si="1"/>
        <v>1.58</v>
      </c>
      <c r="I14" s="17">
        <f t="shared" si="2"/>
        <v>1.98</v>
      </c>
      <c r="J14" s="18">
        <f t="shared" si="3"/>
        <v>0.25</v>
      </c>
      <c r="K14" s="18">
        <f t="shared" si="0"/>
        <v>7.8209999999999997</v>
      </c>
      <c r="L14" s="14" t="s">
        <v>42</v>
      </c>
      <c r="N14" s="20" t="s">
        <v>43</v>
      </c>
    </row>
    <row r="15" spans="1:16" x14ac:dyDescent="0.3">
      <c r="A15" s="11" t="str">
        <f>Tb_Dados[[#This Row],[CÓD]]&amp;Tb_Dados[[#This Row],[PRODUTO]]&amp;Tb_Dados[[#This Row],[MEDIDA]]</f>
        <v>3479BOX BIPARTIDO MAJESTIC1930X2030X250</v>
      </c>
      <c r="B15" s="12" t="s">
        <v>13</v>
      </c>
      <c r="C15" s="13">
        <v>3479</v>
      </c>
      <c r="D15" s="14" t="s">
        <v>40</v>
      </c>
      <c r="E15" s="13" t="s">
        <v>44</v>
      </c>
      <c r="F15" s="15">
        <v>414.69878779554466</v>
      </c>
      <c r="G15" s="16">
        <v>103.67469694888617</v>
      </c>
      <c r="H15" s="17">
        <f t="shared" si="1"/>
        <v>1.93</v>
      </c>
      <c r="I15" s="17">
        <f t="shared" si="2"/>
        <v>2.0299999999999998</v>
      </c>
      <c r="J15" s="18">
        <f t="shared" si="3"/>
        <v>0.25</v>
      </c>
      <c r="K15" s="18">
        <f t="shared" si="0"/>
        <v>9.7947499999999987</v>
      </c>
      <c r="L15" s="14" t="s">
        <v>45</v>
      </c>
      <c r="N15" s="19" t="s">
        <v>46</v>
      </c>
    </row>
    <row r="16" spans="1:16" x14ac:dyDescent="0.3">
      <c r="A16" s="11" t="str">
        <f>Tb_Dados[[#This Row],[CÓD]]&amp;Tb_Dados[[#This Row],[PRODUTO]]&amp;Tb_Dados[[#This Row],[MEDIDA]]</f>
        <v>3032BOX MAJESTIC880X1880X300</v>
      </c>
      <c r="B16" s="12" t="s">
        <v>13</v>
      </c>
      <c r="C16" s="13">
        <v>3032</v>
      </c>
      <c r="D16" s="14" t="s">
        <v>30</v>
      </c>
      <c r="E16" s="13" t="s">
        <v>47</v>
      </c>
      <c r="F16" s="15">
        <v>192.34697144815533</v>
      </c>
      <c r="G16" s="16">
        <v>96.173485724077665</v>
      </c>
      <c r="H16" s="17">
        <f t="shared" si="1"/>
        <v>0.88</v>
      </c>
      <c r="I16" s="17">
        <f t="shared" si="2"/>
        <v>1.88</v>
      </c>
      <c r="J16" s="18">
        <f t="shared" si="3"/>
        <v>0.3</v>
      </c>
      <c r="K16" s="18">
        <f t="shared" si="0"/>
        <v>4.9631999999999996</v>
      </c>
      <c r="L16" s="14" t="s">
        <v>48</v>
      </c>
      <c r="N16" s="19" t="s">
        <v>49</v>
      </c>
    </row>
    <row r="17" spans="1:16" x14ac:dyDescent="0.3">
      <c r="A17" s="11" t="str">
        <f>Tb_Dados[[#This Row],[CÓD]]&amp;Tb_Dados[[#This Row],[PRODUTO]]&amp;Tb_Dados[[#This Row],[MEDIDA]]</f>
        <v>3032BOX MAJESTIC1280X1880X300</v>
      </c>
      <c r="B17" s="12" t="s">
        <v>13</v>
      </c>
      <c r="C17" s="13">
        <v>3032</v>
      </c>
      <c r="D17" s="14" t="s">
        <v>30</v>
      </c>
      <c r="E17" s="13" t="s">
        <v>50</v>
      </c>
      <c r="F17" s="15">
        <v>248.11544144546045</v>
      </c>
      <c r="G17" s="16">
        <v>124.05772072273022</v>
      </c>
      <c r="H17" s="17">
        <f t="shared" si="1"/>
        <v>1.28</v>
      </c>
      <c r="I17" s="17">
        <f t="shared" si="2"/>
        <v>1.88</v>
      </c>
      <c r="J17" s="18">
        <f t="shared" si="3"/>
        <v>0.3</v>
      </c>
      <c r="K17" s="18">
        <f t="shared" si="0"/>
        <v>7.2191999999999998</v>
      </c>
      <c r="L17" s="14" t="s">
        <v>51</v>
      </c>
      <c r="N17" s="19" t="s">
        <v>52</v>
      </c>
    </row>
    <row r="18" spans="1:16" x14ac:dyDescent="0.3">
      <c r="A18" s="11" t="str">
        <f>Tb_Dados[[#This Row],[CÓD]]&amp;Tb_Dados[[#This Row],[PRODUTO]]&amp;Tb_Dados[[#This Row],[MEDIDA]]</f>
        <v>3032BOX MAJESTIC1380X1880X300</v>
      </c>
      <c r="B18" s="12" t="s">
        <v>13</v>
      </c>
      <c r="C18" s="13">
        <v>3032</v>
      </c>
      <c r="D18" s="14" t="s">
        <v>30</v>
      </c>
      <c r="E18" s="13" t="s">
        <v>53</v>
      </c>
      <c r="F18" s="15">
        <v>248.11544144546045</v>
      </c>
      <c r="G18" s="16">
        <v>124.05772072273022</v>
      </c>
      <c r="H18" s="17">
        <f t="shared" si="1"/>
        <v>1.38</v>
      </c>
      <c r="I18" s="17">
        <f t="shared" si="2"/>
        <v>1.88</v>
      </c>
      <c r="J18" s="18">
        <f t="shared" si="3"/>
        <v>0.3</v>
      </c>
      <c r="K18" s="18">
        <f t="shared" si="0"/>
        <v>7.783199999999999</v>
      </c>
      <c r="L18" s="14" t="s">
        <v>54</v>
      </c>
      <c r="N18" s="20" t="s">
        <v>55</v>
      </c>
    </row>
    <row r="19" spans="1:16" x14ac:dyDescent="0.3">
      <c r="A19" s="11" t="str">
        <f>Tb_Dados[[#This Row],[CÓD]]&amp;Tb_Dados[[#This Row],[PRODUTO]]&amp;Tb_Dados[[#This Row],[MEDIDA]]</f>
        <v>3479BOX BIPARTIDO MAJESTIC1580X1980X300</v>
      </c>
      <c r="B19" s="12" t="s">
        <v>13</v>
      </c>
      <c r="C19" s="13">
        <v>3479</v>
      </c>
      <c r="D19" s="14" t="s">
        <v>40</v>
      </c>
      <c r="E19" s="13" t="s">
        <v>56</v>
      </c>
      <c r="F19" s="15">
        <v>382.82213195231071</v>
      </c>
      <c r="G19" s="16">
        <v>95.705532988077678</v>
      </c>
      <c r="H19" s="17">
        <f t="shared" si="1"/>
        <v>1.58</v>
      </c>
      <c r="I19" s="17">
        <f t="shared" si="2"/>
        <v>1.98</v>
      </c>
      <c r="J19" s="18">
        <f t="shared" si="3"/>
        <v>0.3</v>
      </c>
      <c r="K19" s="18">
        <f t="shared" si="0"/>
        <v>9.3852000000000011</v>
      </c>
      <c r="L19" s="14" t="s">
        <v>57</v>
      </c>
      <c r="N19" s="19" t="s">
        <v>40</v>
      </c>
      <c r="P19" s="21" t="s">
        <v>5</v>
      </c>
    </row>
    <row r="20" spans="1:16" x14ac:dyDescent="0.3">
      <c r="A20" s="11" t="str">
        <f>Tb_Dados[[#This Row],[CÓD]]&amp;Tb_Dados[[#This Row],[PRODUTO]]&amp;Tb_Dados[[#This Row],[MEDIDA]]</f>
        <v>3479BOX BIPARTIDO MAJESTIC1930X2030X300</v>
      </c>
      <c r="B20" s="12" t="s">
        <v>13</v>
      </c>
      <c r="C20" s="13">
        <v>3479</v>
      </c>
      <c r="D20" s="14" t="s">
        <v>40</v>
      </c>
      <c r="E20" s="13" t="s">
        <v>58</v>
      </c>
      <c r="F20" s="15">
        <v>427.53440427015477</v>
      </c>
      <c r="G20" s="16">
        <v>106.88360106753869</v>
      </c>
      <c r="H20" s="17">
        <f t="shared" si="1"/>
        <v>1.93</v>
      </c>
      <c r="I20" s="17">
        <f t="shared" si="2"/>
        <v>2.0299999999999998</v>
      </c>
      <c r="J20" s="18">
        <f t="shared" si="3"/>
        <v>0.3</v>
      </c>
      <c r="K20" s="18">
        <f t="shared" si="0"/>
        <v>11.753699999999998</v>
      </c>
      <c r="L20" s="14" t="s">
        <v>59</v>
      </c>
      <c r="N20" s="19" t="s">
        <v>60</v>
      </c>
    </row>
    <row r="21" spans="1:16" x14ac:dyDescent="0.3">
      <c r="A21" s="11" t="str">
        <f>Tb_Dados[[#This Row],[CÓD]]&amp;Tb_Dados[[#This Row],[PRODUTO]]&amp;Tb_Dados[[#This Row],[MEDIDA]]</f>
        <v>2899BOX COM AUXÍLIO MAJESTIC880X1880X300</v>
      </c>
      <c r="B21" s="12" t="s">
        <v>13</v>
      </c>
      <c r="C21" s="13">
        <v>2899</v>
      </c>
      <c r="D21" s="14" t="s">
        <v>61</v>
      </c>
      <c r="E21" s="13" t="s">
        <v>47</v>
      </c>
      <c r="F21" s="15">
        <v>500.79640553675142</v>
      </c>
      <c r="G21" s="16">
        <v>250.39820276837571</v>
      </c>
      <c r="H21" s="17">
        <f t="shared" si="1"/>
        <v>0.88</v>
      </c>
      <c r="I21" s="17">
        <f t="shared" si="2"/>
        <v>1.88</v>
      </c>
      <c r="J21" s="18">
        <f t="shared" si="3"/>
        <v>0.3</v>
      </c>
      <c r="K21" s="18">
        <f t="shared" si="0"/>
        <v>4.9631999999999996</v>
      </c>
      <c r="L21" s="14" t="s">
        <v>62</v>
      </c>
      <c r="N21" s="19" t="s">
        <v>63</v>
      </c>
    </row>
    <row r="22" spans="1:16" x14ac:dyDescent="0.3">
      <c r="A22" s="11" t="str">
        <f>Tb_Dados[[#This Row],[CÓD]]&amp;Tb_Dados[[#This Row],[PRODUTO]]&amp;Tb_Dados[[#This Row],[MEDIDA]]</f>
        <v>13290COLC NEW MAJESTIC880X1880X300</v>
      </c>
      <c r="B22" s="12" t="s">
        <v>13</v>
      </c>
      <c r="C22" s="13">
        <v>13290</v>
      </c>
      <c r="D22" s="14" t="s">
        <v>64</v>
      </c>
      <c r="E22" s="13" t="s">
        <v>47</v>
      </c>
      <c r="F22" s="15">
        <v>473.44424958330421</v>
      </c>
      <c r="G22" s="16">
        <v>236.72212479165211</v>
      </c>
      <c r="H22" s="17">
        <f t="shared" si="1"/>
        <v>0.88</v>
      </c>
      <c r="I22" s="17">
        <f t="shared" si="2"/>
        <v>1.88</v>
      </c>
      <c r="J22" s="18">
        <f t="shared" si="3"/>
        <v>0.3</v>
      </c>
      <c r="K22" s="18">
        <f t="shared" si="0"/>
        <v>4.9631999999999996</v>
      </c>
      <c r="L22" s="14" t="s">
        <v>48</v>
      </c>
      <c r="N22" s="19" t="s">
        <v>65</v>
      </c>
    </row>
    <row r="23" spans="1:16" x14ac:dyDescent="0.3">
      <c r="A23" s="11" t="str">
        <f>Tb_Dados[[#This Row],[CÓD]]&amp;Tb_Dados[[#This Row],[PRODUTO]]&amp;Tb_Dados[[#This Row],[MEDIDA]]</f>
        <v>13290COLC NEW MAJESTIC1280X1880X300</v>
      </c>
      <c r="B23" s="12" t="s">
        <v>13</v>
      </c>
      <c r="C23" s="13">
        <v>13290</v>
      </c>
      <c r="D23" s="14" t="s">
        <v>64</v>
      </c>
      <c r="E23" s="13" t="s">
        <v>50</v>
      </c>
      <c r="F23" s="15">
        <v>690.24788817555589</v>
      </c>
      <c r="G23" s="16">
        <v>345.12394408777794</v>
      </c>
      <c r="H23" s="17">
        <f t="shared" si="1"/>
        <v>1.28</v>
      </c>
      <c r="I23" s="17">
        <f t="shared" si="2"/>
        <v>1.88</v>
      </c>
      <c r="J23" s="18">
        <f t="shared" si="3"/>
        <v>0.3</v>
      </c>
      <c r="K23" s="18">
        <f t="shared" si="0"/>
        <v>7.2191999999999998</v>
      </c>
      <c r="L23" s="14" t="s">
        <v>51</v>
      </c>
      <c r="N23" s="19" t="s">
        <v>66</v>
      </c>
    </row>
    <row r="24" spans="1:16" x14ac:dyDescent="0.3">
      <c r="A24" s="11" t="str">
        <f>Tb_Dados[[#This Row],[CÓD]]&amp;Tb_Dados[[#This Row],[PRODUTO]]&amp;Tb_Dados[[#This Row],[MEDIDA]]</f>
        <v>13290COLC NEW MAJESTIC1380X1880X300</v>
      </c>
      <c r="B24" s="12" t="s">
        <v>13</v>
      </c>
      <c r="C24" s="13">
        <v>13290</v>
      </c>
      <c r="D24" s="14" t="s">
        <v>64</v>
      </c>
      <c r="E24" s="13" t="s">
        <v>53</v>
      </c>
      <c r="F24" s="15">
        <v>690.24788817555589</v>
      </c>
      <c r="G24" s="16">
        <v>345.12394408777794</v>
      </c>
      <c r="H24" s="17">
        <f t="shared" si="1"/>
        <v>1.38</v>
      </c>
      <c r="I24" s="17">
        <f t="shared" si="2"/>
        <v>1.88</v>
      </c>
      <c r="J24" s="18">
        <f t="shared" si="3"/>
        <v>0.3</v>
      </c>
      <c r="K24" s="18">
        <f t="shared" si="0"/>
        <v>7.783199999999999</v>
      </c>
      <c r="L24" s="14" t="s">
        <v>54</v>
      </c>
      <c r="N24" s="19" t="s">
        <v>67</v>
      </c>
    </row>
    <row r="25" spans="1:16" x14ac:dyDescent="0.3">
      <c r="A25" s="11" t="str">
        <f>Tb_Dados[[#This Row],[CÓD]]&amp;Tb_Dados[[#This Row],[PRODUTO]]&amp;Tb_Dados[[#This Row],[MEDIDA]]</f>
        <v>13290COLC NEW MAJESTIC1580X1980X300</v>
      </c>
      <c r="B25" s="12" t="s">
        <v>13</v>
      </c>
      <c r="C25" s="13">
        <v>13290</v>
      </c>
      <c r="D25" s="14" t="s">
        <v>64</v>
      </c>
      <c r="E25" s="13" t="s">
        <v>56</v>
      </c>
      <c r="F25" s="15">
        <v>810.48642921038117</v>
      </c>
      <c r="G25" s="16">
        <v>405.24321460519059</v>
      </c>
      <c r="H25" s="17">
        <f t="shared" si="1"/>
        <v>1.58</v>
      </c>
      <c r="I25" s="17">
        <f t="shared" si="2"/>
        <v>1.98</v>
      </c>
      <c r="J25" s="18">
        <f t="shared" si="3"/>
        <v>0.3</v>
      </c>
      <c r="K25" s="18">
        <f t="shared" si="0"/>
        <v>9.3852000000000011</v>
      </c>
      <c r="L25" s="14" t="s">
        <v>57</v>
      </c>
      <c r="N25" s="19" t="s">
        <v>68</v>
      </c>
    </row>
    <row r="26" spans="1:16" x14ac:dyDescent="0.3">
      <c r="A26" s="11" t="str">
        <f>Tb_Dados[[#This Row],[CÓD]]&amp;Tb_Dados[[#This Row],[PRODUTO]]&amp;Tb_Dados[[#This Row],[MEDIDA]]</f>
        <v>13291BOX NEW MAJESTIC880X1880X250</v>
      </c>
      <c r="B26" s="12" t="s">
        <v>13</v>
      </c>
      <c r="C26" s="13">
        <v>13291</v>
      </c>
      <c r="D26" s="14" t="s">
        <v>69</v>
      </c>
      <c r="E26" s="13" t="s">
        <v>31</v>
      </c>
      <c r="F26" s="15">
        <v>203.52987119860742</v>
      </c>
      <c r="G26" s="16">
        <v>101.76493559930371</v>
      </c>
      <c r="H26" s="17">
        <f t="shared" si="1"/>
        <v>0.88</v>
      </c>
      <c r="I26" s="17">
        <f t="shared" si="2"/>
        <v>1.88</v>
      </c>
      <c r="J26" s="18">
        <f t="shared" si="3"/>
        <v>0.25</v>
      </c>
      <c r="K26" s="18">
        <f t="shared" si="0"/>
        <v>4.1359999999999992</v>
      </c>
      <c r="L26" s="14" t="s">
        <v>32</v>
      </c>
      <c r="N26" s="20" t="s">
        <v>70</v>
      </c>
    </row>
    <row r="27" spans="1:16" x14ac:dyDescent="0.3">
      <c r="A27" s="11" t="str">
        <f>Tb_Dados[[#This Row],[CÓD]]&amp;Tb_Dados[[#This Row],[PRODUTO]]&amp;Tb_Dados[[#This Row],[MEDIDA]]</f>
        <v>13291BOX NEW MAJESTIC1280X1880X250</v>
      </c>
      <c r="B27" s="12" t="s">
        <v>13</v>
      </c>
      <c r="C27" s="13">
        <v>13291</v>
      </c>
      <c r="D27" s="14" t="s">
        <v>69</v>
      </c>
      <c r="E27" s="13" t="s">
        <v>34</v>
      </c>
      <c r="F27" s="15">
        <v>261.80314269420751</v>
      </c>
      <c r="G27" s="16">
        <v>130.90157134710375</v>
      </c>
      <c r="H27" s="17">
        <f t="shared" si="1"/>
        <v>1.28</v>
      </c>
      <c r="I27" s="17">
        <f t="shared" si="2"/>
        <v>1.88</v>
      </c>
      <c r="J27" s="18">
        <f t="shared" si="3"/>
        <v>0.25</v>
      </c>
      <c r="K27" s="18">
        <f t="shared" si="0"/>
        <v>6.016</v>
      </c>
      <c r="L27" s="14" t="s">
        <v>35</v>
      </c>
      <c r="N27" s="20" t="s">
        <v>71</v>
      </c>
    </row>
    <row r="28" spans="1:16" x14ac:dyDescent="0.3">
      <c r="A28" s="11" t="str">
        <f>Tb_Dados[[#This Row],[CÓD]]&amp;Tb_Dados[[#This Row],[PRODUTO]]&amp;Tb_Dados[[#This Row],[MEDIDA]]</f>
        <v>13291BOX NEW MAJESTIC1380X1880X250</v>
      </c>
      <c r="B28" s="12" t="s">
        <v>13</v>
      </c>
      <c r="C28" s="13">
        <v>13291</v>
      </c>
      <c r="D28" s="14" t="s">
        <v>69</v>
      </c>
      <c r="E28" s="13" t="s">
        <v>37</v>
      </c>
      <c r="F28" s="15">
        <v>261.80314269420751</v>
      </c>
      <c r="G28" s="16">
        <v>130.90157134710375</v>
      </c>
      <c r="H28" s="17">
        <f t="shared" si="1"/>
        <v>1.38</v>
      </c>
      <c r="I28" s="17">
        <f t="shared" si="2"/>
        <v>1.88</v>
      </c>
      <c r="J28" s="18">
        <f t="shared" si="3"/>
        <v>0.25</v>
      </c>
      <c r="K28" s="18">
        <f t="shared" si="0"/>
        <v>6.4859999999999998</v>
      </c>
      <c r="L28" s="14" t="s">
        <v>38</v>
      </c>
      <c r="N28" s="19" t="s">
        <v>72</v>
      </c>
    </row>
    <row r="29" spans="1:16" x14ac:dyDescent="0.3">
      <c r="A29" s="11" t="str">
        <f>Tb_Dados[[#This Row],[CÓD]]&amp;Tb_Dados[[#This Row],[PRODUTO]]&amp;Tb_Dados[[#This Row],[MEDIDA]]</f>
        <v>13332BOX BIPARTIDO NEW MAJESTIC1580X1980X250</v>
      </c>
      <c r="B29" s="12" t="s">
        <v>13</v>
      </c>
      <c r="C29" s="13">
        <v>13332</v>
      </c>
      <c r="D29" s="14" t="s">
        <v>68</v>
      </c>
      <c r="E29" s="13" t="s">
        <v>41</v>
      </c>
      <c r="F29" s="15">
        <v>405.18793145321496</v>
      </c>
      <c r="G29" s="16">
        <v>101.29698286330374</v>
      </c>
      <c r="H29" s="17">
        <f t="shared" si="1"/>
        <v>1.58</v>
      </c>
      <c r="I29" s="17">
        <f t="shared" si="2"/>
        <v>1.98</v>
      </c>
      <c r="J29" s="18">
        <f t="shared" si="3"/>
        <v>0.25</v>
      </c>
      <c r="K29" s="18">
        <f t="shared" si="0"/>
        <v>7.8209999999999997</v>
      </c>
      <c r="L29" s="14" t="s">
        <v>42</v>
      </c>
      <c r="N29" s="19" t="s">
        <v>73</v>
      </c>
    </row>
    <row r="30" spans="1:16" x14ac:dyDescent="0.3">
      <c r="A30" s="11" t="str">
        <f>Tb_Dados[[#This Row],[CÓD]]&amp;Tb_Dados[[#This Row],[PRODUTO]]&amp;Tb_Dados[[#This Row],[MEDIDA]]</f>
        <v>13291BOX NEW MAJESTIC880X1880X300</v>
      </c>
      <c r="B30" s="12" t="s">
        <v>13</v>
      </c>
      <c r="C30" s="13">
        <v>13291</v>
      </c>
      <c r="D30" s="14" t="s">
        <v>69</v>
      </c>
      <c r="E30" s="13" t="s">
        <v>47</v>
      </c>
      <c r="F30" s="15">
        <v>212.13426579725751</v>
      </c>
      <c r="G30" s="16">
        <v>106.06713289862876</v>
      </c>
      <c r="H30" s="17">
        <f t="shared" si="1"/>
        <v>0.88</v>
      </c>
      <c r="I30" s="17">
        <f t="shared" si="2"/>
        <v>1.88</v>
      </c>
      <c r="J30" s="18">
        <f t="shared" si="3"/>
        <v>0.3</v>
      </c>
      <c r="K30" s="18">
        <f t="shared" si="0"/>
        <v>4.9631999999999996</v>
      </c>
      <c r="L30" s="14" t="s">
        <v>48</v>
      </c>
      <c r="N30" s="19" t="s">
        <v>74</v>
      </c>
    </row>
    <row r="31" spans="1:16" x14ac:dyDescent="0.3">
      <c r="A31" s="11" t="str">
        <f>Tb_Dados[[#This Row],[CÓD]]&amp;Tb_Dados[[#This Row],[PRODUTO]]&amp;Tb_Dados[[#This Row],[MEDIDA]]</f>
        <v>13291BOX NEW MAJESTIC1280X1880X300</v>
      </c>
      <c r="B31" s="12" t="s">
        <v>13</v>
      </c>
      <c r="C31" s="13">
        <v>13291</v>
      </c>
      <c r="D31" s="14" t="s">
        <v>69</v>
      </c>
      <c r="E31" s="13" t="s">
        <v>50</v>
      </c>
      <c r="F31" s="15">
        <v>271.43618121404512</v>
      </c>
      <c r="G31" s="16">
        <v>135.71809060702256</v>
      </c>
      <c r="H31" s="17">
        <f t="shared" si="1"/>
        <v>1.28</v>
      </c>
      <c r="I31" s="17">
        <f t="shared" si="2"/>
        <v>1.88</v>
      </c>
      <c r="J31" s="18">
        <f t="shared" si="3"/>
        <v>0.3</v>
      </c>
      <c r="K31" s="18">
        <f t="shared" si="0"/>
        <v>7.2191999999999998</v>
      </c>
      <c r="L31" s="14" t="s">
        <v>51</v>
      </c>
      <c r="N31" s="19" t="s">
        <v>75</v>
      </c>
    </row>
    <row r="32" spans="1:16" x14ac:dyDescent="0.3">
      <c r="A32" s="11" t="str">
        <f>Tb_Dados[[#This Row],[CÓD]]&amp;Tb_Dados[[#This Row],[PRODUTO]]&amp;Tb_Dados[[#This Row],[MEDIDA]]</f>
        <v>13291BOX NEW MAJESTIC1380X1880X300</v>
      </c>
      <c r="B32" s="12" t="s">
        <v>13</v>
      </c>
      <c r="C32" s="13">
        <v>13291</v>
      </c>
      <c r="D32" s="14" t="s">
        <v>69</v>
      </c>
      <c r="E32" s="13" t="s">
        <v>53</v>
      </c>
      <c r="F32" s="15">
        <v>271.43618121404512</v>
      </c>
      <c r="G32" s="16">
        <v>135.71809060702256</v>
      </c>
      <c r="H32" s="17">
        <f t="shared" si="1"/>
        <v>1.38</v>
      </c>
      <c r="I32" s="17">
        <f t="shared" si="2"/>
        <v>1.88</v>
      </c>
      <c r="J32" s="18">
        <f t="shared" si="3"/>
        <v>0.3</v>
      </c>
      <c r="K32" s="18">
        <f t="shared" si="0"/>
        <v>7.783199999999999</v>
      </c>
      <c r="L32" s="14" t="s">
        <v>54</v>
      </c>
      <c r="N32" s="19" t="s">
        <v>76</v>
      </c>
    </row>
    <row r="33" spans="1:16" x14ac:dyDescent="0.3">
      <c r="A33" s="11" t="str">
        <f>Tb_Dados[[#This Row],[CÓD]]&amp;Tb_Dados[[#This Row],[PRODUTO]]&amp;Tb_Dados[[#This Row],[MEDIDA]]</f>
        <v>13332BOX BIPARTIDO NEW MAJESTIC1580X1980X300</v>
      </c>
      <c r="B33" s="12" t="s">
        <v>13</v>
      </c>
      <c r="C33" s="13">
        <v>13332</v>
      </c>
      <c r="D33" s="14" t="s">
        <v>68</v>
      </c>
      <c r="E33" s="13" t="s">
        <v>56</v>
      </c>
      <c r="F33" s="15">
        <v>422.39672065051508</v>
      </c>
      <c r="G33" s="16">
        <v>105.59918016262877</v>
      </c>
      <c r="H33" s="17">
        <f t="shared" si="1"/>
        <v>1.58</v>
      </c>
      <c r="I33" s="17">
        <f t="shared" si="2"/>
        <v>1.98</v>
      </c>
      <c r="J33" s="18">
        <f t="shared" si="3"/>
        <v>0.3</v>
      </c>
      <c r="K33" s="18">
        <f t="shared" si="0"/>
        <v>9.3852000000000011</v>
      </c>
      <c r="L33" s="14" t="s">
        <v>57</v>
      </c>
      <c r="N33" s="20" t="s">
        <v>77</v>
      </c>
    </row>
    <row r="34" spans="1:16" x14ac:dyDescent="0.3">
      <c r="A34" s="11" t="str">
        <f>Tb_Dados[[#This Row],[CÓD]]&amp;Tb_Dados[[#This Row],[PRODUTO]]&amp;Tb_Dados[[#This Row],[MEDIDA]]</f>
        <v>2772COLC GRAND SUED880X1880X300</v>
      </c>
      <c r="B34" s="12" t="s">
        <v>13</v>
      </c>
      <c r="C34" s="13">
        <v>2772</v>
      </c>
      <c r="D34" s="14" t="s">
        <v>78</v>
      </c>
      <c r="E34" s="13" t="s">
        <v>47</v>
      </c>
      <c r="F34" s="15">
        <v>350.48638447152149</v>
      </c>
      <c r="G34" s="16">
        <v>175.24319223576074</v>
      </c>
      <c r="H34" s="17">
        <f t="shared" si="1"/>
        <v>0.88</v>
      </c>
      <c r="I34" s="17">
        <f t="shared" si="2"/>
        <v>1.88</v>
      </c>
      <c r="J34" s="18">
        <f t="shared" si="3"/>
        <v>0.3</v>
      </c>
      <c r="K34" s="18">
        <f t="shared" si="0"/>
        <v>4.9631999999999996</v>
      </c>
      <c r="L34" s="14" t="s">
        <v>48</v>
      </c>
      <c r="N34" s="19" t="s">
        <v>79</v>
      </c>
    </row>
    <row r="35" spans="1:16" x14ac:dyDescent="0.3">
      <c r="A35" s="11" t="str">
        <f>Tb_Dados[[#This Row],[CÓD]]&amp;Tb_Dados[[#This Row],[PRODUTO]]&amp;Tb_Dados[[#This Row],[MEDIDA]]</f>
        <v>2772COLC GRAND SUED1280X1880X300</v>
      </c>
      <c r="B35" s="12" t="s">
        <v>13</v>
      </c>
      <c r="C35" s="13">
        <v>2772</v>
      </c>
      <c r="D35" s="14" t="s">
        <v>78</v>
      </c>
      <c r="E35" s="13" t="s">
        <v>50</v>
      </c>
      <c r="F35" s="15">
        <v>517.81370475607628</v>
      </c>
      <c r="G35" s="16">
        <v>258.90685237803814</v>
      </c>
      <c r="H35" s="17">
        <f t="shared" si="1"/>
        <v>1.28</v>
      </c>
      <c r="I35" s="17">
        <f t="shared" si="2"/>
        <v>1.88</v>
      </c>
      <c r="J35" s="18">
        <f t="shared" si="3"/>
        <v>0.3</v>
      </c>
      <c r="K35" s="18">
        <f t="shared" si="0"/>
        <v>7.2191999999999998</v>
      </c>
      <c r="L35" s="14" t="s">
        <v>51</v>
      </c>
      <c r="N35" s="19" t="s">
        <v>80</v>
      </c>
    </row>
    <row r="36" spans="1:16" x14ac:dyDescent="0.3">
      <c r="A36" s="11" t="str">
        <f>Tb_Dados[[#This Row],[CÓD]]&amp;Tb_Dados[[#This Row],[PRODUTO]]&amp;Tb_Dados[[#This Row],[MEDIDA]]</f>
        <v>2772COLC GRAND SUED1380X1880X300</v>
      </c>
      <c r="B36" s="12" t="s">
        <v>13</v>
      </c>
      <c r="C36" s="13">
        <v>2772</v>
      </c>
      <c r="D36" s="14" t="s">
        <v>78</v>
      </c>
      <c r="E36" s="13" t="s">
        <v>53</v>
      </c>
      <c r="F36" s="15">
        <v>517.81370475607628</v>
      </c>
      <c r="G36" s="16">
        <v>258.90685237803814</v>
      </c>
      <c r="H36" s="17">
        <f t="shared" si="1"/>
        <v>1.38</v>
      </c>
      <c r="I36" s="17">
        <f t="shared" si="2"/>
        <v>1.88</v>
      </c>
      <c r="J36" s="18">
        <f t="shared" si="3"/>
        <v>0.3</v>
      </c>
      <c r="K36" s="18">
        <f t="shared" si="0"/>
        <v>7.783199999999999</v>
      </c>
      <c r="L36" s="14" t="s">
        <v>54</v>
      </c>
      <c r="N36" s="20" t="s">
        <v>81</v>
      </c>
    </row>
    <row r="37" spans="1:16" x14ac:dyDescent="0.3">
      <c r="A37" s="11" t="str">
        <f>Tb_Dados[[#This Row],[CÓD]]&amp;Tb_Dados[[#This Row],[PRODUTO]]&amp;Tb_Dados[[#This Row],[MEDIDA]]</f>
        <v>2772COLC GRAND SUED1580X1980X300</v>
      </c>
      <c r="B37" s="12" t="s">
        <v>13</v>
      </c>
      <c r="C37" s="13">
        <v>2772</v>
      </c>
      <c r="D37" s="14" t="s">
        <v>78</v>
      </c>
      <c r="E37" s="13" t="s">
        <v>56</v>
      </c>
      <c r="F37" s="15">
        <v>614.12618950370961</v>
      </c>
      <c r="G37" s="16">
        <v>307.06309475185481</v>
      </c>
      <c r="H37" s="17">
        <f t="shared" si="1"/>
        <v>1.58</v>
      </c>
      <c r="I37" s="17">
        <f t="shared" si="2"/>
        <v>1.98</v>
      </c>
      <c r="J37" s="18">
        <f t="shared" si="3"/>
        <v>0.3</v>
      </c>
      <c r="K37" s="18">
        <f t="shared" si="0"/>
        <v>9.3852000000000011</v>
      </c>
      <c r="L37" s="14" t="s">
        <v>57</v>
      </c>
      <c r="N37" s="19" t="s">
        <v>82</v>
      </c>
    </row>
    <row r="38" spans="1:16" x14ac:dyDescent="0.3">
      <c r="A38" s="11" t="str">
        <f>Tb_Dados[[#This Row],[CÓD]]&amp;Tb_Dados[[#This Row],[PRODUTO]]&amp;Tb_Dados[[#This Row],[MEDIDA]]</f>
        <v>2772COLC GRAND SUED1930X2030X300</v>
      </c>
      <c r="B38" s="12" t="s">
        <v>13</v>
      </c>
      <c r="C38" s="13">
        <v>2772</v>
      </c>
      <c r="D38" s="14" t="s">
        <v>78</v>
      </c>
      <c r="E38" s="13" t="s">
        <v>58</v>
      </c>
      <c r="F38" s="15">
        <v>751.6409289222596</v>
      </c>
      <c r="G38" s="16">
        <v>375.8204644611298</v>
      </c>
      <c r="H38" s="17">
        <f t="shared" si="1"/>
        <v>1.93</v>
      </c>
      <c r="I38" s="17">
        <f t="shared" si="2"/>
        <v>2.0299999999999998</v>
      </c>
      <c r="J38" s="18">
        <f t="shared" si="3"/>
        <v>0.3</v>
      </c>
      <c r="K38" s="18">
        <f t="shared" si="0"/>
        <v>11.753699999999998</v>
      </c>
      <c r="L38" s="14" t="s">
        <v>59</v>
      </c>
      <c r="N38" s="19" t="s">
        <v>83</v>
      </c>
    </row>
    <row r="39" spans="1:16" x14ac:dyDescent="0.3">
      <c r="A39" s="11" t="str">
        <f>Tb_Dados[[#This Row],[CÓD]]&amp;Tb_Dados[[#This Row],[PRODUTO]]&amp;Tb_Dados[[#This Row],[MEDIDA]]</f>
        <v>2871BOX GRAND SUED880X1880X250</v>
      </c>
      <c r="B39" s="12" t="s">
        <v>13</v>
      </c>
      <c r="C39" s="13">
        <v>2871</v>
      </c>
      <c r="D39" s="14" t="s">
        <v>84</v>
      </c>
      <c r="E39" s="13" t="s">
        <v>31</v>
      </c>
      <c r="F39" s="15">
        <v>182.08981290774631</v>
      </c>
      <c r="G39" s="16">
        <v>91.044906453873153</v>
      </c>
      <c r="H39" s="17">
        <f t="shared" si="1"/>
        <v>0.88</v>
      </c>
      <c r="I39" s="17">
        <f t="shared" si="2"/>
        <v>1.88</v>
      </c>
      <c r="J39" s="18">
        <f t="shared" si="3"/>
        <v>0.25</v>
      </c>
      <c r="K39" s="18">
        <f t="shared" si="0"/>
        <v>4.1359999999999992</v>
      </c>
      <c r="L39" s="14" t="s">
        <v>32</v>
      </c>
      <c r="N39" s="20" t="s">
        <v>85</v>
      </c>
    </row>
    <row r="40" spans="1:16" x14ac:dyDescent="0.3">
      <c r="A40" s="11" t="str">
        <f>Tb_Dados[[#This Row],[CÓD]]&amp;Tb_Dados[[#This Row],[PRODUTO]]&amp;Tb_Dados[[#This Row],[MEDIDA]]</f>
        <v>2871BOX GRAND SUED1280X1880X250</v>
      </c>
      <c r="B40" s="12" t="s">
        <v>13</v>
      </c>
      <c r="C40" s="13">
        <v>2871</v>
      </c>
      <c r="D40" s="14" t="s">
        <v>84</v>
      </c>
      <c r="E40" s="13" t="s">
        <v>34</v>
      </c>
      <c r="F40" s="15">
        <v>237.51840627194264</v>
      </c>
      <c r="G40" s="16">
        <v>118.75920313597132</v>
      </c>
      <c r="H40" s="17">
        <f t="shared" si="1"/>
        <v>1.28</v>
      </c>
      <c r="I40" s="17">
        <f t="shared" si="2"/>
        <v>1.88</v>
      </c>
      <c r="J40" s="18">
        <f t="shared" si="3"/>
        <v>0.25</v>
      </c>
      <c r="K40" s="18">
        <f t="shared" si="0"/>
        <v>6.016</v>
      </c>
      <c r="L40" s="14" t="s">
        <v>35</v>
      </c>
      <c r="N40" s="19" t="s">
        <v>86</v>
      </c>
    </row>
    <row r="41" spans="1:16" x14ac:dyDescent="0.3">
      <c r="A41" s="11" t="str">
        <f>Tb_Dados[[#This Row],[CÓD]]&amp;Tb_Dados[[#This Row],[PRODUTO]]&amp;Tb_Dados[[#This Row],[MEDIDA]]</f>
        <v>2871BOX GRAND SUED1380X1880X250</v>
      </c>
      <c r="B41" s="12" t="s">
        <v>13</v>
      </c>
      <c r="C41" s="13">
        <v>2871</v>
      </c>
      <c r="D41" s="14" t="s">
        <v>84</v>
      </c>
      <c r="E41" s="13" t="s">
        <v>37</v>
      </c>
      <c r="F41" s="15">
        <v>237.51840627194264</v>
      </c>
      <c r="G41" s="16">
        <v>118.75920313597132</v>
      </c>
      <c r="H41" s="17">
        <f t="shared" si="1"/>
        <v>1.38</v>
      </c>
      <c r="I41" s="17">
        <f t="shared" si="2"/>
        <v>1.88</v>
      </c>
      <c r="J41" s="18">
        <f t="shared" si="3"/>
        <v>0.25</v>
      </c>
      <c r="K41" s="18">
        <f t="shared" si="0"/>
        <v>6.4859999999999998</v>
      </c>
      <c r="L41" s="14" t="s">
        <v>38</v>
      </c>
      <c r="N41" s="20" t="s">
        <v>87</v>
      </c>
    </row>
    <row r="42" spans="1:16" x14ac:dyDescent="0.3">
      <c r="A42" s="11" t="str">
        <f>Tb_Dados[[#This Row],[CÓD]]&amp;Tb_Dados[[#This Row],[PRODUTO]]&amp;Tb_Dados[[#This Row],[MEDIDA]]</f>
        <v>3471BOX BIPARTIDO GRAND SUED1580X1980X250</v>
      </c>
      <c r="B42" s="12" t="s">
        <v>13</v>
      </c>
      <c r="C42" s="13">
        <v>3471</v>
      </c>
      <c r="D42" s="14" t="s">
        <v>49</v>
      </c>
      <c r="E42" s="13" t="s">
        <v>41</v>
      </c>
      <c r="F42" s="15">
        <v>362.30781487149267</v>
      </c>
      <c r="G42" s="16">
        <v>90.576953717873167</v>
      </c>
      <c r="H42" s="17">
        <f t="shared" si="1"/>
        <v>1.58</v>
      </c>
      <c r="I42" s="17">
        <f t="shared" si="2"/>
        <v>1.98</v>
      </c>
      <c r="J42" s="18">
        <f t="shared" si="3"/>
        <v>0.25</v>
      </c>
      <c r="K42" s="18">
        <f t="shared" si="0"/>
        <v>7.8209999999999997</v>
      </c>
      <c r="L42" s="14" t="s">
        <v>42</v>
      </c>
      <c r="N42" s="19" t="s">
        <v>61</v>
      </c>
      <c r="P42" s="21" t="s">
        <v>88</v>
      </c>
    </row>
    <row r="43" spans="1:16" x14ac:dyDescent="0.3">
      <c r="A43" s="11" t="str">
        <f>Tb_Dados[[#This Row],[CÓD]]&amp;Tb_Dados[[#This Row],[PRODUTO]]&amp;Tb_Dados[[#This Row],[MEDIDA]]</f>
        <v>3471BOX BIPARTIDO GRAND SUED1930X2030X250</v>
      </c>
      <c r="B43" s="12" t="s">
        <v>13</v>
      </c>
      <c r="C43" s="13">
        <v>3471</v>
      </c>
      <c r="D43" s="14" t="s">
        <v>49</v>
      </c>
      <c r="E43" s="13" t="s">
        <v>44</v>
      </c>
      <c r="F43" s="15">
        <v>407.7575858828497</v>
      </c>
      <c r="G43" s="16">
        <v>101.93939647071242</v>
      </c>
      <c r="H43" s="17">
        <f t="shared" si="1"/>
        <v>1.93</v>
      </c>
      <c r="I43" s="17">
        <f t="shared" si="2"/>
        <v>2.0299999999999998</v>
      </c>
      <c r="J43" s="18">
        <f t="shared" si="3"/>
        <v>0.25</v>
      </c>
      <c r="K43" s="18">
        <f t="shared" si="0"/>
        <v>9.7947499999999987</v>
      </c>
      <c r="L43" s="14" t="s">
        <v>45</v>
      </c>
      <c r="N43" s="20" t="s">
        <v>89</v>
      </c>
    </row>
    <row r="44" spans="1:16" x14ac:dyDescent="0.3">
      <c r="A44" s="11" t="str">
        <f>Tb_Dados[[#This Row],[CÓD]]&amp;Tb_Dados[[#This Row],[PRODUTO]]&amp;Tb_Dados[[#This Row],[MEDIDA]]</f>
        <v>2871BOX GRAND SUED880X1880X300</v>
      </c>
      <c r="B44" s="12" t="s">
        <v>13</v>
      </c>
      <c r="C44" s="13">
        <v>2871</v>
      </c>
      <c r="D44" s="14" t="s">
        <v>84</v>
      </c>
      <c r="E44" s="13" t="s">
        <v>47</v>
      </c>
      <c r="F44" s="15">
        <v>188.66598345676135</v>
      </c>
      <c r="G44" s="16">
        <v>94.332991728380676</v>
      </c>
      <c r="H44" s="17">
        <f t="shared" si="1"/>
        <v>0.88</v>
      </c>
      <c r="I44" s="17">
        <f t="shared" si="2"/>
        <v>1.88</v>
      </c>
      <c r="J44" s="18">
        <f t="shared" si="3"/>
        <v>0.3</v>
      </c>
      <c r="K44" s="18">
        <f t="shared" si="0"/>
        <v>4.9631999999999996</v>
      </c>
      <c r="L44" s="14" t="s">
        <v>48</v>
      </c>
      <c r="N44" s="19" t="s">
        <v>90</v>
      </c>
    </row>
    <row r="45" spans="1:16" x14ac:dyDescent="0.3">
      <c r="A45" s="11" t="str">
        <f>Tb_Dados[[#This Row],[CÓD]]&amp;Tb_Dados[[#This Row],[PRODUTO]]&amp;Tb_Dados[[#This Row],[MEDIDA]]</f>
        <v>2871BOX GRAND SUED1280X1880X300</v>
      </c>
      <c r="B45" s="12" t="s">
        <v>13</v>
      </c>
      <c r="C45" s="13">
        <v>2871</v>
      </c>
      <c r="D45" s="14" t="s">
        <v>84</v>
      </c>
      <c r="E45" s="13" t="s">
        <v>50</v>
      </c>
      <c r="F45" s="15">
        <v>244.66103787613898</v>
      </c>
      <c r="G45" s="16">
        <v>122.33051893806949</v>
      </c>
      <c r="H45" s="17">
        <f t="shared" si="1"/>
        <v>1.28</v>
      </c>
      <c r="I45" s="17">
        <f t="shared" si="2"/>
        <v>1.88</v>
      </c>
      <c r="J45" s="18">
        <f t="shared" si="3"/>
        <v>0.3</v>
      </c>
      <c r="K45" s="18">
        <f t="shared" si="0"/>
        <v>7.2191999999999998</v>
      </c>
      <c r="L45" s="14" t="s">
        <v>51</v>
      </c>
      <c r="N45" s="20" t="s">
        <v>91</v>
      </c>
    </row>
    <row r="46" spans="1:16" x14ac:dyDescent="0.3">
      <c r="A46" s="11" t="str">
        <f>Tb_Dados[[#This Row],[CÓD]]&amp;Tb_Dados[[#This Row],[PRODUTO]]&amp;Tb_Dados[[#This Row],[MEDIDA]]</f>
        <v>2871BOX GRAND SUED1380X1880X300</v>
      </c>
      <c r="B46" s="12" t="s">
        <v>13</v>
      </c>
      <c r="C46" s="13">
        <v>2871</v>
      </c>
      <c r="D46" s="14" t="s">
        <v>84</v>
      </c>
      <c r="E46" s="13" t="s">
        <v>53</v>
      </c>
      <c r="F46" s="15">
        <v>244.66103787613898</v>
      </c>
      <c r="G46" s="16">
        <v>122.33051893806949</v>
      </c>
      <c r="H46" s="17">
        <f t="shared" si="1"/>
        <v>1.38</v>
      </c>
      <c r="I46" s="17">
        <f t="shared" si="2"/>
        <v>1.88</v>
      </c>
      <c r="J46" s="18">
        <f t="shared" si="3"/>
        <v>0.3</v>
      </c>
      <c r="K46" s="18">
        <f t="shared" si="0"/>
        <v>7.783199999999999</v>
      </c>
      <c r="L46" s="14" t="s">
        <v>54</v>
      </c>
      <c r="N46" s="20" t="s">
        <v>92</v>
      </c>
    </row>
    <row r="47" spans="1:16" x14ac:dyDescent="0.3">
      <c r="A47" s="11" t="str">
        <f>Tb_Dados[[#This Row],[CÓD]]&amp;Tb_Dados[[#This Row],[PRODUTO]]&amp;Tb_Dados[[#This Row],[MEDIDA]]</f>
        <v>3471BOX BIPARTIDO GRAND SUED1580X1980X300</v>
      </c>
      <c r="B47" s="12" t="s">
        <v>13</v>
      </c>
      <c r="C47" s="13">
        <v>3471</v>
      </c>
      <c r="D47" s="14" t="s">
        <v>49</v>
      </c>
      <c r="E47" s="13" t="s">
        <v>56</v>
      </c>
      <c r="F47" s="15">
        <v>375.46015596952276</v>
      </c>
      <c r="G47" s="16">
        <v>93.86503899238069</v>
      </c>
      <c r="H47" s="17">
        <f t="shared" si="1"/>
        <v>1.58</v>
      </c>
      <c r="I47" s="17">
        <f t="shared" si="2"/>
        <v>1.98</v>
      </c>
      <c r="J47" s="18">
        <f t="shared" si="3"/>
        <v>0.3</v>
      </c>
      <c r="K47" s="18">
        <f t="shared" si="0"/>
        <v>9.3852000000000011</v>
      </c>
      <c r="L47" s="14" t="s">
        <v>57</v>
      </c>
      <c r="N47" s="19" t="s">
        <v>93</v>
      </c>
    </row>
    <row r="48" spans="1:16" x14ac:dyDescent="0.3">
      <c r="A48" s="11" t="str">
        <f>Tb_Dados[[#This Row],[CÓD]]&amp;Tb_Dados[[#This Row],[PRODUTO]]&amp;Tb_Dados[[#This Row],[MEDIDA]]</f>
        <v>3471BOX BIPARTIDO GRAND SUED1930X2030X300</v>
      </c>
      <c r="B48" s="12" t="s">
        <v>13</v>
      </c>
      <c r="C48" s="13">
        <v>3471</v>
      </c>
      <c r="D48" s="14" t="s">
        <v>49</v>
      </c>
      <c r="E48" s="13" t="s">
        <v>58</v>
      </c>
      <c r="F48" s="15">
        <v>420.35369582502483</v>
      </c>
      <c r="G48" s="16">
        <v>105.08842395625621</v>
      </c>
      <c r="H48" s="17">
        <f t="shared" si="1"/>
        <v>1.93</v>
      </c>
      <c r="I48" s="17">
        <f t="shared" si="2"/>
        <v>2.0299999999999998</v>
      </c>
      <c r="J48" s="18">
        <f t="shared" si="3"/>
        <v>0.3</v>
      </c>
      <c r="K48" s="18">
        <f t="shared" si="0"/>
        <v>11.753699999999998</v>
      </c>
      <c r="L48" s="14" t="s">
        <v>59</v>
      </c>
      <c r="N48" s="19" t="s">
        <v>94</v>
      </c>
    </row>
    <row r="49" spans="1:16" x14ac:dyDescent="0.3">
      <c r="A49" s="11" t="str">
        <f>Tb_Dados[[#This Row],[CÓD]]&amp;Tb_Dados[[#This Row],[PRODUTO]]&amp;Tb_Dados[[#This Row],[MEDIDA]]</f>
        <v>2899BOX COM AUXÍLIO GRAND SUED880X1880X300</v>
      </c>
      <c r="B49" s="12" t="s">
        <v>13</v>
      </c>
      <c r="C49" s="13">
        <v>2899</v>
      </c>
      <c r="D49" s="14" t="s">
        <v>86</v>
      </c>
      <c r="E49" s="13" t="s">
        <v>47</v>
      </c>
      <c r="F49" s="15">
        <v>433.1507769957837</v>
      </c>
      <c r="G49" s="16">
        <v>216.57538849789185</v>
      </c>
      <c r="H49" s="17">
        <f t="shared" si="1"/>
        <v>0.88</v>
      </c>
      <c r="I49" s="17">
        <f t="shared" si="2"/>
        <v>1.88</v>
      </c>
      <c r="J49" s="18">
        <f t="shared" si="3"/>
        <v>0.3</v>
      </c>
      <c r="K49" s="18">
        <f t="shared" si="0"/>
        <v>4.9631999999999996</v>
      </c>
      <c r="L49" s="22" t="s">
        <v>95</v>
      </c>
      <c r="N49" s="19" t="s">
        <v>96</v>
      </c>
    </row>
    <row r="50" spans="1:16" x14ac:dyDescent="0.3">
      <c r="A50" s="11" t="str">
        <f>Tb_Dados[[#This Row],[CÓD]]&amp;Tb_Dados[[#This Row],[PRODUTO]]&amp;Tb_Dados[[#This Row],[MEDIDA]]</f>
        <v>3134COLC PALACE880X1880X280</v>
      </c>
      <c r="B50" s="12" t="s">
        <v>13</v>
      </c>
      <c r="C50" s="13">
        <v>3134</v>
      </c>
      <c r="D50" s="14" t="s">
        <v>97</v>
      </c>
      <c r="E50" s="13" t="s">
        <v>98</v>
      </c>
      <c r="F50" s="15">
        <v>333.06556654353835</v>
      </c>
      <c r="G50" s="16">
        <v>166.53278327176918</v>
      </c>
      <c r="H50" s="17">
        <f t="shared" si="1"/>
        <v>0.88</v>
      </c>
      <c r="I50" s="17">
        <f t="shared" si="2"/>
        <v>1.88</v>
      </c>
      <c r="J50" s="18">
        <f t="shared" si="3"/>
        <v>0.28000000000000003</v>
      </c>
      <c r="K50" s="18">
        <f t="shared" si="0"/>
        <v>4.63232</v>
      </c>
      <c r="L50" s="14" t="s">
        <v>99</v>
      </c>
      <c r="N50" s="19" t="s">
        <v>100</v>
      </c>
    </row>
    <row r="51" spans="1:16" x14ac:dyDescent="0.3">
      <c r="A51" s="11" t="str">
        <f>Tb_Dados[[#This Row],[CÓD]]&amp;Tb_Dados[[#This Row],[PRODUTO]]&amp;Tb_Dados[[#This Row],[MEDIDA]]</f>
        <v>3134COLC PALACE1280X1880X280</v>
      </c>
      <c r="B51" s="12" t="s">
        <v>13</v>
      </c>
      <c r="C51" s="13">
        <v>3134</v>
      </c>
      <c r="D51" s="14" t="s">
        <v>97</v>
      </c>
      <c r="E51" s="13" t="s">
        <v>101</v>
      </c>
      <c r="F51" s="15">
        <v>458.84265813724801</v>
      </c>
      <c r="G51" s="16">
        <v>229.421329068624</v>
      </c>
      <c r="H51" s="17">
        <f t="shared" si="1"/>
        <v>1.28</v>
      </c>
      <c r="I51" s="17">
        <f t="shared" si="2"/>
        <v>1.88</v>
      </c>
      <c r="J51" s="18">
        <f t="shared" si="3"/>
        <v>0.28000000000000003</v>
      </c>
      <c r="K51" s="18">
        <f t="shared" si="0"/>
        <v>6.7379200000000008</v>
      </c>
      <c r="L51" s="14" t="s">
        <v>102</v>
      </c>
      <c r="N51" s="19" t="s">
        <v>103</v>
      </c>
    </row>
    <row r="52" spans="1:16" x14ac:dyDescent="0.3">
      <c r="A52" s="11" t="str">
        <f>Tb_Dados[[#This Row],[CÓD]]&amp;Tb_Dados[[#This Row],[PRODUTO]]&amp;Tb_Dados[[#This Row],[MEDIDA]]</f>
        <v>3134COLC PALACE1380X1880X280</v>
      </c>
      <c r="B52" s="12" t="s">
        <v>13</v>
      </c>
      <c r="C52" s="13">
        <v>3134</v>
      </c>
      <c r="D52" s="14" t="s">
        <v>97</v>
      </c>
      <c r="E52" s="13" t="s">
        <v>104</v>
      </c>
      <c r="F52" s="15">
        <v>458.84265813724801</v>
      </c>
      <c r="G52" s="16">
        <v>229.421329068624</v>
      </c>
      <c r="H52" s="17">
        <f t="shared" si="1"/>
        <v>1.38</v>
      </c>
      <c r="I52" s="17">
        <f t="shared" si="2"/>
        <v>1.88</v>
      </c>
      <c r="J52" s="18">
        <f t="shared" si="3"/>
        <v>0.28000000000000003</v>
      </c>
      <c r="K52" s="18">
        <f t="shared" si="0"/>
        <v>7.2643199999999997</v>
      </c>
      <c r="L52" s="14" t="s">
        <v>105</v>
      </c>
      <c r="N52" s="20" t="s">
        <v>106</v>
      </c>
    </row>
    <row r="53" spans="1:16" x14ac:dyDescent="0.3">
      <c r="A53" s="11" t="str">
        <f>Tb_Dados[[#This Row],[CÓD]]&amp;Tb_Dados[[#This Row],[PRODUTO]]&amp;Tb_Dados[[#This Row],[MEDIDA]]</f>
        <v>3134COLC PALACE1580X1980X280</v>
      </c>
      <c r="B53" s="12" t="s">
        <v>13</v>
      </c>
      <c r="C53" s="13">
        <v>3134</v>
      </c>
      <c r="D53" s="14" t="s">
        <v>97</v>
      </c>
      <c r="E53" s="13" t="s">
        <v>107</v>
      </c>
      <c r="F53" s="15">
        <v>540.48884462459125</v>
      </c>
      <c r="G53" s="16">
        <v>270.24442231229563</v>
      </c>
      <c r="H53" s="17">
        <f t="shared" si="1"/>
        <v>1.58</v>
      </c>
      <c r="I53" s="17">
        <f t="shared" si="2"/>
        <v>1.98</v>
      </c>
      <c r="J53" s="18">
        <f t="shared" si="3"/>
        <v>0.28000000000000003</v>
      </c>
      <c r="K53" s="18">
        <f t="shared" si="0"/>
        <v>8.7595200000000002</v>
      </c>
      <c r="L53" s="14" t="s">
        <v>108</v>
      </c>
      <c r="N53" s="20" t="s">
        <v>109</v>
      </c>
    </row>
    <row r="54" spans="1:16" x14ac:dyDescent="0.3">
      <c r="A54" s="11" t="str">
        <f>Tb_Dados[[#This Row],[CÓD]]&amp;Tb_Dados[[#This Row],[PRODUTO]]&amp;Tb_Dados[[#This Row],[MEDIDA]]</f>
        <v>13155COLC PALACE SILVER880X1880X280</v>
      </c>
      <c r="B54" s="12" t="s">
        <v>13</v>
      </c>
      <c r="C54" s="13">
        <v>13155</v>
      </c>
      <c r="D54" s="14" t="s">
        <v>110</v>
      </c>
      <c r="E54" s="13" t="s">
        <v>98</v>
      </c>
      <c r="F54" s="15">
        <v>314.1354575893813</v>
      </c>
      <c r="G54" s="16">
        <v>157.06772879469065</v>
      </c>
      <c r="H54" s="17">
        <f t="shared" si="1"/>
        <v>0.88</v>
      </c>
      <c r="I54" s="17">
        <f t="shared" si="2"/>
        <v>1.88</v>
      </c>
      <c r="J54" s="18">
        <f t="shared" si="3"/>
        <v>0.28000000000000003</v>
      </c>
      <c r="K54" s="18">
        <f t="shared" si="0"/>
        <v>4.63232</v>
      </c>
      <c r="L54" s="14" t="s">
        <v>99</v>
      </c>
      <c r="N54" s="19" t="s">
        <v>111</v>
      </c>
    </row>
    <row r="55" spans="1:16" x14ac:dyDescent="0.3">
      <c r="A55" s="11" t="str">
        <f>Tb_Dados[[#This Row],[CÓD]]&amp;Tb_Dados[[#This Row],[PRODUTO]]&amp;Tb_Dados[[#This Row],[MEDIDA]]</f>
        <v>13155COLC PALACE SILVER1280X1880X280</v>
      </c>
      <c r="B55" s="12" t="s">
        <v>13</v>
      </c>
      <c r="C55" s="13">
        <v>13155</v>
      </c>
      <c r="D55" s="14" t="s">
        <v>110</v>
      </c>
      <c r="E55" s="13" t="s">
        <v>101</v>
      </c>
      <c r="F55" s="15">
        <v>462.34405258084735</v>
      </c>
      <c r="G55" s="16">
        <v>231.17202629042367</v>
      </c>
      <c r="H55" s="17">
        <f t="shared" si="1"/>
        <v>1.28</v>
      </c>
      <c r="I55" s="17">
        <f t="shared" si="2"/>
        <v>1.88</v>
      </c>
      <c r="J55" s="18">
        <f t="shared" si="3"/>
        <v>0.28000000000000003</v>
      </c>
      <c r="K55" s="18">
        <f t="shared" si="0"/>
        <v>6.7379200000000008</v>
      </c>
      <c r="L55" s="14" t="s">
        <v>102</v>
      </c>
      <c r="N55" s="19" t="s">
        <v>84</v>
      </c>
    </row>
    <row r="56" spans="1:16" x14ac:dyDescent="0.3">
      <c r="A56" s="11" t="str">
        <f>Tb_Dados[[#This Row],[CÓD]]&amp;Tb_Dados[[#This Row],[PRODUTO]]&amp;Tb_Dados[[#This Row],[MEDIDA]]</f>
        <v>13155COLC PALACE SILVER1380X1880X280</v>
      </c>
      <c r="B56" s="12" t="s">
        <v>13</v>
      </c>
      <c r="C56" s="13">
        <v>13155</v>
      </c>
      <c r="D56" s="14" t="s">
        <v>110</v>
      </c>
      <c r="E56" s="13" t="s">
        <v>104</v>
      </c>
      <c r="F56" s="15">
        <v>462.34405258084735</v>
      </c>
      <c r="G56" s="16">
        <v>231.17202629042367</v>
      </c>
      <c r="H56" s="17">
        <f t="shared" si="1"/>
        <v>1.38</v>
      </c>
      <c r="I56" s="17">
        <f t="shared" si="2"/>
        <v>1.88</v>
      </c>
      <c r="J56" s="18">
        <f t="shared" si="3"/>
        <v>0.28000000000000003</v>
      </c>
      <c r="K56" s="18">
        <f t="shared" si="0"/>
        <v>7.2643199999999997</v>
      </c>
      <c r="L56" s="14" t="s">
        <v>105</v>
      </c>
      <c r="N56" s="19" t="s">
        <v>112</v>
      </c>
    </row>
    <row r="57" spans="1:16" x14ac:dyDescent="0.3">
      <c r="A57" s="11" t="str">
        <f>Tb_Dados[[#This Row],[CÓD]]&amp;Tb_Dados[[#This Row],[PRODUTO]]&amp;Tb_Dados[[#This Row],[MEDIDA]]</f>
        <v>13155COLC PALACE SILVER1580X1980X280</v>
      </c>
      <c r="B57" s="12" t="s">
        <v>13</v>
      </c>
      <c r="C57" s="13">
        <v>13155</v>
      </c>
      <c r="D57" s="14" t="s">
        <v>110</v>
      </c>
      <c r="E57" s="13" t="s">
        <v>107</v>
      </c>
      <c r="F57" s="15">
        <v>550.02854765397228</v>
      </c>
      <c r="G57" s="16">
        <v>275.01427382698614</v>
      </c>
      <c r="H57" s="17">
        <f t="shared" si="1"/>
        <v>1.58</v>
      </c>
      <c r="I57" s="17">
        <f t="shared" si="2"/>
        <v>1.98</v>
      </c>
      <c r="J57" s="18">
        <f t="shared" si="3"/>
        <v>0.28000000000000003</v>
      </c>
      <c r="K57" s="18">
        <f t="shared" si="0"/>
        <v>8.7595200000000002</v>
      </c>
      <c r="L57" s="14" t="s">
        <v>108</v>
      </c>
      <c r="N57" s="20" t="s">
        <v>113</v>
      </c>
    </row>
    <row r="58" spans="1:16" x14ac:dyDescent="0.3">
      <c r="A58" s="11" t="str">
        <f>Tb_Dados[[#This Row],[CÓD]]&amp;Tb_Dados[[#This Row],[PRODUTO]]&amp;Tb_Dados[[#This Row],[MEDIDA]]</f>
        <v>11504COLC PALACE PLW880X1880X300</v>
      </c>
      <c r="B58" s="12" t="s">
        <v>13</v>
      </c>
      <c r="C58" s="13">
        <v>11504</v>
      </c>
      <c r="D58" s="14" t="s">
        <v>114</v>
      </c>
      <c r="E58" s="13" t="s">
        <v>47</v>
      </c>
      <c r="F58" s="15">
        <v>374.03150300397459</v>
      </c>
      <c r="G58" s="16">
        <v>187.0157515019873</v>
      </c>
      <c r="H58" s="17">
        <f t="shared" si="1"/>
        <v>0.88</v>
      </c>
      <c r="I58" s="17">
        <f t="shared" si="2"/>
        <v>1.88</v>
      </c>
      <c r="J58" s="18">
        <f t="shared" si="3"/>
        <v>0.3</v>
      </c>
      <c r="K58" s="18">
        <f t="shared" si="0"/>
        <v>4.9631999999999996</v>
      </c>
      <c r="L58" s="14" t="s">
        <v>48</v>
      </c>
      <c r="N58" s="19" t="s">
        <v>30</v>
      </c>
      <c r="P58" s="21" t="s">
        <v>115</v>
      </c>
    </row>
    <row r="59" spans="1:16" x14ac:dyDescent="0.3">
      <c r="A59" s="11" t="str">
        <f>Tb_Dados[[#This Row],[CÓD]]&amp;Tb_Dados[[#This Row],[PRODUTO]]&amp;Tb_Dados[[#This Row],[MEDIDA]]</f>
        <v>11504COLC PALACE PLW1280X1880X300</v>
      </c>
      <c r="B59" s="12" t="s">
        <v>13</v>
      </c>
      <c r="C59" s="13">
        <v>11504</v>
      </c>
      <c r="D59" s="14" t="s">
        <v>114</v>
      </c>
      <c r="E59" s="13" t="s">
        <v>50</v>
      </c>
      <c r="F59" s="15">
        <v>520.89969235580941</v>
      </c>
      <c r="G59" s="16">
        <v>260.4498461779047</v>
      </c>
      <c r="H59" s="17">
        <f t="shared" si="1"/>
        <v>1.28</v>
      </c>
      <c r="I59" s="17">
        <f t="shared" si="2"/>
        <v>1.88</v>
      </c>
      <c r="J59" s="18">
        <f t="shared" si="3"/>
        <v>0.3</v>
      </c>
      <c r="K59" s="18">
        <f t="shared" si="0"/>
        <v>7.2191999999999998</v>
      </c>
      <c r="L59" s="14" t="s">
        <v>51</v>
      </c>
      <c r="N59" s="19" t="s">
        <v>116</v>
      </c>
    </row>
    <row r="60" spans="1:16" x14ac:dyDescent="0.3">
      <c r="A60" s="11" t="str">
        <f>Tb_Dados[[#This Row],[CÓD]]&amp;Tb_Dados[[#This Row],[PRODUTO]]&amp;Tb_Dados[[#This Row],[MEDIDA]]</f>
        <v>11504COLC PALACE PLW1380X1880X300</v>
      </c>
      <c r="B60" s="12" t="s">
        <v>13</v>
      </c>
      <c r="C60" s="13">
        <v>11504</v>
      </c>
      <c r="D60" s="14" t="s">
        <v>114</v>
      </c>
      <c r="E60" s="13" t="s">
        <v>53</v>
      </c>
      <c r="F60" s="15">
        <v>520.89969235580941</v>
      </c>
      <c r="G60" s="16">
        <v>260.4498461779047</v>
      </c>
      <c r="H60" s="17">
        <f t="shared" si="1"/>
        <v>1.38</v>
      </c>
      <c r="I60" s="17">
        <f t="shared" si="2"/>
        <v>1.88</v>
      </c>
      <c r="J60" s="18">
        <f t="shared" si="3"/>
        <v>0.3</v>
      </c>
      <c r="K60" s="18">
        <f t="shared" si="0"/>
        <v>7.783199999999999</v>
      </c>
      <c r="L60" s="14" t="s">
        <v>54</v>
      </c>
      <c r="N60" s="19" t="s">
        <v>117</v>
      </c>
    </row>
    <row r="61" spans="1:16" x14ac:dyDescent="0.3">
      <c r="A61" s="11" t="str">
        <f>Tb_Dados[[#This Row],[CÓD]]&amp;Tb_Dados[[#This Row],[PRODUTO]]&amp;Tb_Dados[[#This Row],[MEDIDA]]</f>
        <v>11504COLC PALACE PLW1580X1980X300</v>
      </c>
      <c r="B61" s="12" t="s">
        <v>13</v>
      </c>
      <c r="C61" s="13">
        <v>11504</v>
      </c>
      <c r="D61" s="14" t="s">
        <v>114</v>
      </c>
      <c r="E61" s="13" t="s">
        <v>56</v>
      </c>
      <c r="F61" s="15">
        <v>614.67598760346993</v>
      </c>
      <c r="G61" s="16">
        <v>307.33799380173497</v>
      </c>
      <c r="H61" s="17">
        <f t="shared" si="1"/>
        <v>1.58</v>
      </c>
      <c r="I61" s="17">
        <f t="shared" si="2"/>
        <v>1.98</v>
      </c>
      <c r="J61" s="18">
        <f t="shared" si="3"/>
        <v>0.3</v>
      </c>
      <c r="K61" s="18">
        <f t="shared" si="0"/>
        <v>9.3852000000000011</v>
      </c>
      <c r="L61" s="14" t="s">
        <v>57</v>
      </c>
      <c r="N61" s="19" t="s">
        <v>118</v>
      </c>
    </row>
    <row r="62" spans="1:16" x14ac:dyDescent="0.3">
      <c r="A62" s="11" t="str">
        <f>Tb_Dados[[#This Row],[CÓD]]&amp;Tb_Dados[[#This Row],[PRODUTO]]&amp;Tb_Dados[[#This Row],[MEDIDA]]</f>
        <v>3135BOX PALACE880X1880X250</v>
      </c>
      <c r="B62" s="12" t="s">
        <v>13</v>
      </c>
      <c r="C62" s="13">
        <v>3135</v>
      </c>
      <c r="D62" s="14" t="s">
        <v>119</v>
      </c>
      <c r="E62" s="13" t="s">
        <v>31</v>
      </c>
      <c r="F62" s="15">
        <v>186.40523728094328</v>
      </c>
      <c r="G62" s="16">
        <v>93.202618640471641</v>
      </c>
      <c r="H62" s="17">
        <f t="shared" si="1"/>
        <v>0.88</v>
      </c>
      <c r="I62" s="17">
        <f t="shared" si="2"/>
        <v>1.88</v>
      </c>
      <c r="J62" s="18">
        <f t="shared" si="3"/>
        <v>0.25</v>
      </c>
      <c r="K62" s="18">
        <f t="shared" si="0"/>
        <v>4.1359999999999992</v>
      </c>
      <c r="L62" s="14" t="s">
        <v>32</v>
      </c>
      <c r="N62" s="19" t="s">
        <v>120</v>
      </c>
    </row>
    <row r="63" spans="1:16" x14ac:dyDescent="0.3">
      <c r="A63" s="11" t="str">
        <f>Tb_Dados[[#This Row],[CÓD]]&amp;Tb_Dados[[#This Row],[PRODUTO]]&amp;Tb_Dados[[#This Row],[MEDIDA]]</f>
        <v>3135BOX PALACE1280X1880X250</v>
      </c>
      <c r="B63" s="12" t="s">
        <v>13</v>
      </c>
      <c r="C63" s="13">
        <v>3135</v>
      </c>
      <c r="D63" s="14" t="s">
        <v>119</v>
      </c>
      <c r="E63" s="13" t="s">
        <v>34</v>
      </c>
      <c r="F63" s="15">
        <v>241.72053843410339</v>
      </c>
      <c r="G63" s="16">
        <v>120.86026921705169</v>
      </c>
      <c r="H63" s="17">
        <f t="shared" si="1"/>
        <v>1.28</v>
      </c>
      <c r="I63" s="17">
        <f t="shared" si="2"/>
        <v>1.88</v>
      </c>
      <c r="J63" s="18">
        <f t="shared" si="3"/>
        <v>0.25</v>
      </c>
      <c r="K63" s="18">
        <f t="shared" si="0"/>
        <v>6.016</v>
      </c>
      <c r="L63" s="14" t="s">
        <v>35</v>
      </c>
      <c r="N63" s="19" t="s">
        <v>121</v>
      </c>
    </row>
    <row r="64" spans="1:16" x14ac:dyDescent="0.3">
      <c r="A64" s="11" t="str">
        <f>Tb_Dados[[#This Row],[CÓD]]&amp;Tb_Dados[[#This Row],[PRODUTO]]&amp;Tb_Dados[[#This Row],[MEDIDA]]</f>
        <v>3135BOX PALACE1380X1880X250</v>
      </c>
      <c r="B64" s="12" t="s">
        <v>13</v>
      </c>
      <c r="C64" s="13">
        <v>3135</v>
      </c>
      <c r="D64" s="14" t="s">
        <v>119</v>
      </c>
      <c r="E64" s="13" t="s">
        <v>37</v>
      </c>
      <c r="F64" s="15">
        <v>241.72053843410339</v>
      </c>
      <c r="G64" s="16">
        <v>120.86026921705169</v>
      </c>
      <c r="H64" s="17">
        <f t="shared" si="1"/>
        <v>1.38</v>
      </c>
      <c r="I64" s="17">
        <f t="shared" si="2"/>
        <v>1.88</v>
      </c>
      <c r="J64" s="18">
        <f t="shared" si="3"/>
        <v>0.25</v>
      </c>
      <c r="K64" s="18">
        <f t="shared" si="0"/>
        <v>6.4859999999999998</v>
      </c>
      <c r="L64" s="14" t="s">
        <v>38</v>
      </c>
      <c r="N64" s="19" t="s">
        <v>69</v>
      </c>
      <c r="P64" s="21" t="s">
        <v>122</v>
      </c>
    </row>
    <row r="65" spans="1:14" x14ac:dyDescent="0.3">
      <c r="A65" s="11" t="str">
        <f>Tb_Dados[[#This Row],[CÓD]]&amp;Tb_Dados[[#This Row],[PRODUTO]]&amp;Tb_Dados[[#This Row],[MEDIDA]]</f>
        <v>3481BOX BIPARTIDO PALACE1580X1980X250</v>
      </c>
      <c r="B65" s="12" t="s">
        <v>13</v>
      </c>
      <c r="C65" s="13">
        <v>3481</v>
      </c>
      <c r="D65" s="14" t="s">
        <v>72</v>
      </c>
      <c r="E65" s="13" t="s">
        <v>41</v>
      </c>
      <c r="F65" s="15">
        <v>370.93866361788662</v>
      </c>
      <c r="G65" s="16">
        <v>92.734665904471655</v>
      </c>
      <c r="H65" s="17">
        <f t="shared" si="1"/>
        <v>1.58</v>
      </c>
      <c r="I65" s="17">
        <f t="shared" si="2"/>
        <v>1.98</v>
      </c>
      <c r="J65" s="18">
        <f t="shared" si="3"/>
        <v>0.25</v>
      </c>
      <c r="K65" s="18">
        <f t="shared" si="0"/>
        <v>7.8209999999999997</v>
      </c>
      <c r="L65" s="14" t="s">
        <v>42</v>
      </c>
      <c r="N65" s="20" t="s">
        <v>123</v>
      </c>
    </row>
    <row r="66" spans="1:14" x14ac:dyDescent="0.3">
      <c r="A66" s="11" t="str">
        <f>Tb_Dados[[#This Row],[CÓD]]&amp;Tb_Dados[[#This Row],[PRODUTO]]&amp;Tb_Dados[[#This Row],[MEDIDA]]</f>
        <v>3135BOX PALACE880X1880X300</v>
      </c>
      <c r="B66" s="12" t="s">
        <v>13</v>
      </c>
      <c r="C66" s="13">
        <v>3135</v>
      </c>
      <c r="D66" s="14" t="s">
        <v>119</v>
      </c>
      <c r="E66" s="13" t="s">
        <v>47</v>
      </c>
      <c r="F66" s="15">
        <v>192.98140782995833</v>
      </c>
      <c r="G66" s="16">
        <v>96.490703914979164</v>
      </c>
      <c r="H66" s="17">
        <f t="shared" si="1"/>
        <v>0.88</v>
      </c>
      <c r="I66" s="17">
        <f t="shared" si="2"/>
        <v>1.88</v>
      </c>
      <c r="J66" s="18">
        <f t="shared" si="3"/>
        <v>0.3</v>
      </c>
      <c r="K66" s="18">
        <f t="shared" si="0"/>
        <v>4.9631999999999996</v>
      </c>
      <c r="L66" s="14" t="s">
        <v>48</v>
      </c>
      <c r="N66" s="20" t="s">
        <v>124</v>
      </c>
    </row>
    <row r="67" spans="1:14" x14ac:dyDescent="0.3">
      <c r="A67" s="11" t="str">
        <f>Tb_Dados[[#This Row],[CÓD]]&amp;Tb_Dados[[#This Row],[PRODUTO]]&amp;Tb_Dados[[#This Row],[MEDIDA]]</f>
        <v>3135BOX PALACE1280X1880X300</v>
      </c>
      <c r="B67" s="12" t="s">
        <v>13</v>
      </c>
      <c r="C67" s="13">
        <v>3135</v>
      </c>
      <c r="D67" s="14" t="s">
        <v>119</v>
      </c>
      <c r="E67" s="13" t="s">
        <v>50</v>
      </c>
      <c r="F67" s="15">
        <v>249.1491700382997</v>
      </c>
      <c r="G67" s="16">
        <v>124.57458501914985</v>
      </c>
      <c r="H67" s="17">
        <f t="shared" si="1"/>
        <v>1.28</v>
      </c>
      <c r="I67" s="17">
        <f t="shared" si="2"/>
        <v>1.88</v>
      </c>
      <c r="J67" s="18">
        <f t="shared" si="3"/>
        <v>0.3</v>
      </c>
      <c r="K67" s="18">
        <f t="shared" si="0"/>
        <v>7.2191999999999998</v>
      </c>
      <c r="L67" s="14" t="s">
        <v>51</v>
      </c>
      <c r="N67" s="19" t="s">
        <v>119</v>
      </c>
    </row>
    <row r="68" spans="1:14" x14ac:dyDescent="0.3">
      <c r="A68" s="11" t="str">
        <f>Tb_Dados[[#This Row],[CÓD]]&amp;Tb_Dados[[#This Row],[PRODUTO]]&amp;Tb_Dados[[#This Row],[MEDIDA]]</f>
        <v>3135BOX PALACE1380X1880X300</v>
      </c>
      <c r="B68" s="12" t="s">
        <v>13</v>
      </c>
      <c r="C68" s="13">
        <v>3135</v>
      </c>
      <c r="D68" s="14" t="s">
        <v>119</v>
      </c>
      <c r="E68" s="13" t="s">
        <v>53</v>
      </c>
      <c r="F68" s="15">
        <v>249.1491700382997</v>
      </c>
      <c r="G68" s="16">
        <v>124.57458501914985</v>
      </c>
      <c r="H68" s="17">
        <f t="shared" si="1"/>
        <v>1.38</v>
      </c>
      <c r="I68" s="17">
        <f t="shared" si="2"/>
        <v>1.88</v>
      </c>
      <c r="J68" s="18">
        <f t="shared" si="3"/>
        <v>0.3</v>
      </c>
      <c r="K68" s="18">
        <f t="shared" si="0"/>
        <v>7.783199999999999</v>
      </c>
      <c r="L68" s="14" t="s">
        <v>54</v>
      </c>
      <c r="N68" s="19" t="s">
        <v>125</v>
      </c>
    </row>
    <row r="69" spans="1:14" x14ac:dyDescent="0.3">
      <c r="A69" s="11" t="str">
        <f>Tb_Dados[[#This Row],[CÓD]]&amp;Tb_Dados[[#This Row],[PRODUTO]]&amp;Tb_Dados[[#This Row],[MEDIDA]]</f>
        <v>3481BOX BIPARTIDO PALACE1580X1980X300</v>
      </c>
      <c r="B69" s="12" t="s">
        <v>13</v>
      </c>
      <c r="C69" s="13">
        <v>3481</v>
      </c>
      <c r="D69" s="14" t="s">
        <v>72</v>
      </c>
      <c r="E69" s="13" t="s">
        <v>56</v>
      </c>
      <c r="F69" s="15">
        <v>384.09100471591671</v>
      </c>
      <c r="G69" s="16">
        <v>96.022751178979178</v>
      </c>
      <c r="H69" s="17">
        <f t="shared" si="1"/>
        <v>1.58</v>
      </c>
      <c r="I69" s="17">
        <f t="shared" si="2"/>
        <v>1.98</v>
      </c>
      <c r="J69" s="18">
        <f t="shared" si="3"/>
        <v>0.3</v>
      </c>
      <c r="K69" s="18">
        <f t="shared" si="0"/>
        <v>9.3852000000000011</v>
      </c>
      <c r="L69" s="14" t="s">
        <v>57</v>
      </c>
      <c r="N69" s="20" t="s">
        <v>126</v>
      </c>
    </row>
    <row r="70" spans="1:14" x14ac:dyDescent="0.3">
      <c r="A70" s="11" t="str">
        <f>Tb_Dados[[#This Row],[CÓD]]&amp;Tb_Dados[[#This Row],[PRODUTO]]&amp;Tb_Dados[[#This Row],[MEDIDA]]</f>
        <v>2899BOX COM AUXÍLIO PALACE880X1880X300</v>
      </c>
      <c r="B70" s="12" t="s">
        <v>13</v>
      </c>
      <c r="C70" s="13">
        <v>2899</v>
      </c>
      <c r="D70" s="14" t="s">
        <v>93</v>
      </c>
      <c r="E70" s="13" t="s">
        <v>47</v>
      </c>
      <c r="F70" s="15">
        <v>433.94075399675035</v>
      </c>
      <c r="G70" s="16">
        <v>216.97037699837517</v>
      </c>
      <c r="H70" s="17">
        <f t="shared" si="1"/>
        <v>0.88</v>
      </c>
      <c r="I70" s="17">
        <f t="shared" si="2"/>
        <v>1.88</v>
      </c>
      <c r="J70" s="18">
        <f t="shared" si="3"/>
        <v>0.3</v>
      </c>
      <c r="K70" s="18">
        <f t="shared" ref="K70:K133" si="4">H70*I70*J70*10</f>
        <v>4.9631999999999996</v>
      </c>
      <c r="L70" s="22" t="s">
        <v>127</v>
      </c>
      <c r="N70" s="19" t="s">
        <v>128</v>
      </c>
    </row>
    <row r="71" spans="1:14" x14ac:dyDescent="0.3">
      <c r="A71" s="11" t="str">
        <f>Tb_Dados[[#This Row],[CÓD]]&amp;Tb_Dados[[#This Row],[PRODUTO]]&amp;Tb_Dados[[#This Row],[MEDIDA]]</f>
        <v>13156BOX PALACE SILVER880X1880X250</v>
      </c>
      <c r="B71" s="12" t="s">
        <v>13</v>
      </c>
      <c r="C71" s="13">
        <v>13156</v>
      </c>
      <c r="D71" s="14" t="s">
        <v>125</v>
      </c>
      <c r="E71" s="13" t="s">
        <v>31</v>
      </c>
      <c r="F71" s="15">
        <v>184.7148990802103</v>
      </c>
      <c r="G71" s="16">
        <v>92.357449540105151</v>
      </c>
      <c r="H71" s="17">
        <f t="shared" ref="H71:H134" si="5">IF($E71="","",_xlfn.TEXTBEFORE($E71,"X")/1000)</f>
        <v>0.88</v>
      </c>
      <c r="I71" s="17">
        <f t="shared" ref="I71:I134" si="6">IF($E71="","",_xlfn.TEXTBEFORE(_xlfn.TEXTAFTER($E71,"X"),"X")/1000)</f>
        <v>1.88</v>
      </c>
      <c r="J71" s="18">
        <f t="shared" ref="J71:J134" si="7">IF($E71="","",_xlfn.TEXTAFTER($E71,"X",2)/1000)</f>
        <v>0.25</v>
      </c>
      <c r="K71" s="18">
        <f t="shared" si="4"/>
        <v>4.1359999999999992</v>
      </c>
      <c r="L71" s="14" t="s">
        <v>32</v>
      </c>
      <c r="N71" s="19" t="s">
        <v>129</v>
      </c>
    </row>
    <row r="72" spans="1:14" x14ac:dyDescent="0.3">
      <c r="A72" s="11" t="str">
        <f>Tb_Dados[[#This Row],[CÓD]]&amp;Tb_Dados[[#This Row],[PRODUTO]]&amp;Tb_Dados[[#This Row],[MEDIDA]]</f>
        <v>13156BOX PALACE SILVER1280X1880X250</v>
      </c>
      <c r="B72" s="12" t="s">
        <v>13</v>
      </c>
      <c r="C72" s="13">
        <v>13156</v>
      </c>
      <c r="D72" s="14" t="s">
        <v>125</v>
      </c>
      <c r="E72" s="13" t="s">
        <v>34</v>
      </c>
      <c r="F72" s="15">
        <v>239.62835412609661</v>
      </c>
      <c r="G72" s="16">
        <v>119.81417706304831</v>
      </c>
      <c r="H72" s="17">
        <f t="shared" si="5"/>
        <v>1.28</v>
      </c>
      <c r="I72" s="17">
        <f t="shared" si="6"/>
        <v>1.88</v>
      </c>
      <c r="J72" s="18">
        <f t="shared" si="7"/>
        <v>0.25</v>
      </c>
      <c r="K72" s="18">
        <f t="shared" si="4"/>
        <v>6.016</v>
      </c>
      <c r="L72" s="14" t="s">
        <v>35</v>
      </c>
      <c r="N72" s="19" t="s">
        <v>130</v>
      </c>
    </row>
    <row r="73" spans="1:14" x14ac:dyDescent="0.3">
      <c r="A73" s="11" t="str">
        <f>Tb_Dados[[#This Row],[CÓD]]&amp;Tb_Dados[[#This Row],[PRODUTO]]&amp;Tb_Dados[[#This Row],[MEDIDA]]</f>
        <v>13156BOX PALACE SILVER1380X1880X250</v>
      </c>
      <c r="B73" s="12" t="s">
        <v>13</v>
      </c>
      <c r="C73" s="13">
        <v>13156</v>
      </c>
      <c r="D73" s="14" t="s">
        <v>125</v>
      </c>
      <c r="E73" s="13" t="s">
        <v>37</v>
      </c>
      <c r="F73" s="15">
        <v>239.62835412609661</v>
      </c>
      <c r="G73" s="16">
        <v>119.81417706304831</v>
      </c>
      <c r="H73" s="17">
        <f t="shared" si="5"/>
        <v>1.38</v>
      </c>
      <c r="I73" s="17">
        <f t="shared" si="6"/>
        <v>1.88</v>
      </c>
      <c r="J73" s="18">
        <f t="shared" si="7"/>
        <v>0.25</v>
      </c>
      <c r="K73" s="18">
        <f t="shared" si="4"/>
        <v>6.4859999999999998</v>
      </c>
      <c r="L73" s="14" t="s">
        <v>38</v>
      </c>
      <c r="N73" s="20" t="s">
        <v>131</v>
      </c>
    </row>
    <row r="74" spans="1:14" x14ac:dyDescent="0.3">
      <c r="A74" s="11" t="str">
        <f>Tb_Dados[[#This Row],[CÓD]]&amp;Tb_Dados[[#This Row],[PRODUTO]]&amp;Tb_Dados[[#This Row],[MEDIDA]]</f>
        <v>13158BOX BIPARTIDO PALACE SILVER1580X1980X250</v>
      </c>
      <c r="B74" s="12" t="s">
        <v>13</v>
      </c>
      <c r="C74" s="13">
        <v>13158</v>
      </c>
      <c r="D74" s="14" t="s">
        <v>73</v>
      </c>
      <c r="E74" s="13" t="s">
        <v>41</v>
      </c>
      <c r="F74" s="15">
        <v>367.55798721642066</v>
      </c>
      <c r="G74" s="16">
        <v>91.889496804105164</v>
      </c>
      <c r="H74" s="17">
        <f t="shared" si="5"/>
        <v>1.58</v>
      </c>
      <c r="I74" s="17">
        <f t="shared" si="6"/>
        <v>1.98</v>
      </c>
      <c r="J74" s="18">
        <f t="shared" si="7"/>
        <v>0.25</v>
      </c>
      <c r="K74" s="18">
        <f t="shared" si="4"/>
        <v>7.8209999999999997</v>
      </c>
      <c r="L74" s="14" t="s">
        <v>42</v>
      </c>
      <c r="N74" s="19" t="s">
        <v>132</v>
      </c>
    </row>
    <row r="75" spans="1:14" x14ac:dyDescent="0.3">
      <c r="A75" s="11" t="str">
        <f>Tb_Dados[[#This Row],[CÓD]]&amp;Tb_Dados[[#This Row],[PRODUTO]]&amp;Tb_Dados[[#This Row],[MEDIDA]]</f>
        <v>13156BOX PALACE SILVER880X1880X300</v>
      </c>
      <c r="B75" s="12" t="s">
        <v>13</v>
      </c>
      <c r="C75" s="13">
        <v>13156</v>
      </c>
      <c r="D75" s="14" t="s">
        <v>125</v>
      </c>
      <c r="E75" s="13" t="s">
        <v>47</v>
      </c>
      <c r="F75" s="15">
        <v>191.56182051168739</v>
      </c>
      <c r="G75" s="16">
        <v>95.780910255843693</v>
      </c>
      <c r="H75" s="17">
        <f t="shared" si="5"/>
        <v>0.88</v>
      </c>
      <c r="I75" s="17">
        <f t="shared" si="6"/>
        <v>1.88</v>
      </c>
      <c r="J75" s="18">
        <f t="shared" si="7"/>
        <v>0.3</v>
      </c>
      <c r="K75" s="18">
        <f t="shared" si="4"/>
        <v>4.9631999999999996</v>
      </c>
      <c r="L75" s="14" t="s">
        <v>48</v>
      </c>
      <c r="N75" s="19" t="s">
        <v>133</v>
      </c>
    </row>
    <row r="76" spans="1:14" x14ac:dyDescent="0.3">
      <c r="A76" s="11" t="str">
        <f>Tb_Dados[[#This Row],[CÓD]]&amp;Tb_Dados[[#This Row],[PRODUTO]]&amp;Tb_Dados[[#This Row],[MEDIDA]]</f>
        <v>13156BOX PALACE SILVER1280X1880X300</v>
      </c>
      <c r="B76" s="12" t="s">
        <v>13</v>
      </c>
      <c r="C76" s="13">
        <v>13156</v>
      </c>
      <c r="D76" s="14" t="s">
        <v>125</v>
      </c>
      <c r="E76" s="13" t="s">
        <v>50</v>
      </c>
      <c r="F76" s="15">
        <v>246.98524927033748</v>
      </c>
      <c r="G76" s="16">
        <v>123.49262463516874</v>
      </c>
      <c r="H76" s="17">
        <f t="shared" si="5"/>
        <v>1.28</v>
      </c>
      <c r="I76" s="17">
        <f t="shared" si="6"/>
        <v>1.88</v>
      </c>
      <c r="J76" s="18">
        <f t="shared" si="7"/>
        <v>0.3</v>
      </c>
      <c r="K76" s="18">
        <f t="shared" si="4"/>
        <v>7.2191999999999998</v>
      </c>
      <c r="L76" s="14" t="s">
        <v>51</v>
      </c>
      <c r="N76" s="20" t="s">
        <v>134</v>
      </c>
    </row>
    <row r="77" spans="1:14" x14ac:dyDescent="0.3">
      <c r="A77" s="11" t="str">
        <f>Tb_Dados[[#This Row],[CÓD]]&amp;Tb_Dados[[#This Row],[PRODUTO]]&amp;Tb_Dados[[#This Row],[MEDIDA]]</f>
        <v>13156BOX PALACE SILVER1380X1880X300</v>
      </c>
      <c r="B77" s="12" t="s">
        <v>13</v>
      </c>
      <c r="C77" s="13">
        <v>13156</v>
      </c>
      <c r="D77" s="14" t="s">
        <v>125</v>
      </c>
      <c r="E77" s="13" t="s">
        <v>53</v>
      </c>
      <c r="F77" s="15">
        <v>246.98524927033748</v>
      </c>
      <c r="G77" s="16">
        <v>123.49262463516874</v>
      </c>
      <c r="H77" s="17">
        <f t="shared" si="5"/>
        <v>1.38</v>
      </c>
      <c r="I77" s="17">
        <f t="shared" si="6"/>
        <v>1.88</v>
      </c>
      <c r="J77" s="18">
        <f t="shared" si="7"/>
        <v>0.3</v>
      </c>
      <c r="K77" s="18">
        <f t="shared" si="4"/>
        <v>7.783199999999999</v>
      </c>
      <c r="L77" s="14" t="s">
        <v>54</v>
      </c>
      <c r="N77" s="19" t="s">
        <v>135</v>
      </c>
    </row>
    <row r="78" spans="1:14" x14ac:dyDescent="0.3">
      <c r="A78" s="11" t="str">
        <f>Tb_Dados[[#This Row],[CÓD]]&amp;Tb_Dados[[#This Row],[PRODUTO]]&amp;Tb_Dados[[#This Row],[MEDIDA]]</f>
        <v>13158BOX BIPARTIDO PALACE SILVER1580X1980X300</v>
      </c>
      <c r="B78" s="12" t="s">
        <v>13</v>
      </c>
      <c r="C78" s="13">
        <v>13158</v>
      </c>
      <c r="D78" s="14" t="s">
        <v>73</v>
      </c>
      <c r="E78" s="13" t="s">
        <v>56</v>
      </c>
      <c r="F78" s="15">
        <v>381.59943007937477</v>
      </c>
      <c r="G78" s="16">
        <v>95.399857519843692</v>
      </c>
      <c r="H78" s="17">
        <f t="shared" si="5"/>
        <v>1.58</v>
      </c>
      <c r="I78" s="17">
        <f t="shared" si="6"/>
        <v>1.98</v>
      </c>
      <c r="J78" s="18">
        <f t="shared" si="7"/>
        <v>0.3</v>
      </c>
      <c r="K78" s="18">
        <f t="shared" si="4"/>
        <v>9.3852000000000011</v>
      </c>
      <c r="L78" s="14" t="s">
        <v>57</v>
      </c>
      <c r="N78" s="19" t="s">
        <v>136</v>
      </c>
    </row>
    <row r="79" spans="1:14" x14ac:dyDescent="0.3">
      <c r="A79" s="11" t="str">
        <f>Tb_Dados[[#This Row],[CÓD]]&amp;Tb_Dados[[#This Row],[PRODUTO]]&amp;Tb_Dados[[#This Row],[MEDIDA]]</f>
        <v>2764COLC BENEFIT880X1880X320</v>
      </c>
      <c r="B79" s="12" t="s">
        <v>13</v>
      </c>
      <c r="C79" s="13">
        <v>2764</v>
      </c>
      <c r="D79" s="14" t="s">
        <v>135</v>
      </c>
      <c r="E79" s="13" t="s">
        <v>137</v>
      </c>
      <c r="F79" s="15">
        <v>427.95454415444908</v>
      </c>
      <c r="G79" s="16">
        <v>213.97727207722454</v>
      </c>
      <c r="H79" s="17">
        <f t="shared" si="5"/>
        <v>0.88</v>
      </c>
      <c r="I79" s="17">
        <f t="shared" si="6"/>
        <v>1.88</v>
      </c>
      <c r="J79" s="18">
        <f t="shared" si="7"/>
        <v>0.32</v>
      </c>
      <c r="K79" s="18">
        <f t="shared" si="4"/>
        <v>5.2940800000000001</v>
      </c>
      <c r="L79" s="14" t="s">
        <v>138</v>
      </c>
      <c r="N79" s="19" t="s">
        <v>139</v>
      </c>
    </row>
    <row r="80" spans="1:14" x14ac:dyDescent="0.3">
      <c r="A80" s="11" t="str">
        <f>Tb_Dados[[#This Row],[CÓD]]&amp;Tb_Dados[[#This Row],[PRODUTO]]&amp;Tb_Dados[[#This Row],[MEDIDA]]</f>
        <v>2764COLC BENEFIT1280X1880X320</v>
      </c>
      <c r="B80" s="12" t="s">
        <v>13</v>
      </c>
      <c r="C80" s="13">
        <v>2764</v>
      </c>
      <c r="D80" s="14" t="s">
        <v>135</v>
      </c>
      <c r="E80" s="13" t="s">
        <v>140</v>
      </c>
      <c r="F80" s="15">
        <v>613.8088098370464</v>
      </c>
      <c r="G80" s="16">
        <v>306.9044049185232</v>
      </c>
      <c r="H80" s="17">
        <f t="shared" si="5"/>
        <v>1.28</v>
      </c>
      <c r="I80" s="17">
        <f t="shared" si="6"/>
        <v>1.88</v>
      </c>
      <c r="J80" s="18">
        <f t="shared" si="7"/>
        <v>0.32</v>
      </c>
      <c r="K80" s="18">
        <f t="shared" si="4"/>
        <v>7.7004800000000007</v>
      </c>
      <c r="L80" s="14" t="s">
        <v>141</v>
      </c>
      <c r="N80" s="19" t="s">
        <v>142</v>
      </c>
    </row>
    <row r="81" spans="1:16" x14ac:dyDescent="0.3">
      <c r="A81" s="11" t="str">
        <f>Tb_Dados[[#This Row],[CÓD]]&amp;Tb_Dados[[#This Row],[PRODUTO]]&amp;Tb_Dados[[#This Row],[MEDIDA]]</f>
        <v>2764COLC BENEFIT1380X1880X320</v>
      </c>
      <c r="B81" s="12" t="s">
        <v>13</v>
      </c>
      <c r="C81" s="13">
        <v>2764</v>
      </c>
      <c r="D81" s="14" t="s">
        <v>135</v>
      </c>
      <c r="E81" s="13" t="s">
        <v>143</v>
      </c>
      <c r="F81" s="15">
        <v>613.8088098370464</v>
      </c>
      <c r="G81" s="16">
        <v>306.9044049185232</v>
      </c>
      <c r="H81" s="17">
        <f t="shared" si="5"/>
        <v>1.38</v>
      </c>
      <c r="I81" s="17">
        <f t="shared" si="6"/>
        <v>1.88</v>
      </c>
      <c r="J81" s="18">
        <f t="shared" si="7"/>
        <v>0.32</v>
      </c>
      <c r="K81" s="18">
        <f t="shared" si="4"/>
        <v>8.3020800000000001</v>
      </c>
      <c r="L81" s="14" t="s">
        <v>144</v>
      </c>
      <c r="N81" s="19" t="s">
        <v>145</v>
      </c>
    </row>
    <row r="82" spans="1:16" x14ac:dyDescent="0.3">
      <c r="A82" s="11" t="str">
        <f>Tb_Dados[[#This Row],[CÓD]]&amp;Tb_Dados[[#This Row],[PRODUTO]]&amp;Tb_Dados[[#This Row],[MEDIDA]]</f>
        <v>2764COLC BENEFIT1580X1980X320</v>
      </c>
      <c r="B82" s="12" t="s">
        <v>13</v>
      </c>
      <c r="C82" s="13">
        <v>2764</v>
      </c>
      <c r="D82" s="14" t="s">
        <v>135</v>
      </c>
      <c r="E82" s="13" t="s">
        <v>146</v>
      </c>
      <c r="F82" s="15">
        <v>734.77010239664298</v>
      </c>
      <c r="G82" s="16">
        <v>367.38505119832149</v>
      </c>
      <c r="H82" s="17">
        <f t="shared" si="5"/>
        <v>1.58</v>
      </c>
      <c r="I82" s="17">
        <f t="shared" si="6"/>
        <v>1.98</v>
      </c>
      <c r="J82" s="18">
        <f t="shared" si="7"/>
        <v>0.32</v>
      </c>
      <c r="K82" s="18">
        <f t="shared" si="4"/>
        <v>10.01088</v>
      </c>
      <c r="L82" s="14" t="s">
        <v>147</v>
      </c>
      <c r="N82" s="19" t="s">
        <v>148</v>
      </c>
    </row>
    <row r="83" spans="1:16" x14ac:dyDescent="0.3">
      <c r="A83" s="11" t="str">
        <f>Tb_Dados[[#This Row],[CÓD]]&amp;Tb_Dados[[#This Row],[PRODUTO]]&amp;Tb_Dados[[#This Row],[MEDIDA]]</f>
        <v>2764COLC BENEFIT1930X2030X320</v>
      </c>
      <c r="B83" s="12" t="s">
        <v>13</v>
      </c>
      <c r="C83" s="13">
        <v>2764</v>
      </c>
      <c r="D83" s="14" t="s">
        <v>135</v>
      </c>
      <c r="E83" s="13" t="s">
        <v>149</v>
      </c>
      <c r="F83" s="15">
        <v>903.40779889689463</v>
      </c>
      <c r="G83" s="16">
        <v>451.70389944844732</v>
      </c>
      <c r="H83" s="17">
        <f t="shared" si="5"/>
        <v>1.93</v>
      </c>
      <c r="I83" s="17">
        <f t="shared" si="6"/>
        <v>2.0299999999999998</v>
      </c>
      <c r="J83" s="18">
        <f t="shared" si="7"/>
        <v>0.32</v>
      </c>
      <c r="K83" s="18">
        <f t="shared" si="4"/>
        <v>12.537279999999999</v>
      </c>
      <c r="L83" s="14" t="s">
        <v>150</v>
      </c>
      <c r="N83" s="19" t="s">
        <v>151</v>
      </c>
    </row>
    <row r="84" spans="1:16" x14ac:dyDescent="0.3">
      <c r="A84" s="11" t="str">
        <f>Tb_Dados[[#This Row],[CÓD]]&amp;Tb_Dados[[#This Row],[PRODUTO]]&amp;Tb_Dados[[#This Row],[MEDIDA]]</f>
        <v>3154BOX BENEFIT880X1880X250</v>
      </c>
      <c r="B84" s="12" t="s">
        <v>13</v>
      </c>
      <c r="C84" s="13">
        <v>3154</v>
      </c>
      <c r="D84" s="14" t="s">
        <v>29</v>
      </c>
      <c r="E84" s="13" t="s">
        <v>31</v>
      </c>
      <c r="F84" s="15">
        <v>186.49073851733729</v>
      </c>
      <c r="G84" s="16">
        <v>93.245369258668646</v>
      </c>
      <c r="H84" s="17">
        <f t="shared" si="5"/>
        <v>0.88</v>
      </c>
      <c r="I84" s="17">
        <f t="shared" si="6"/>
        <v>1.88</v>
      </c>
      <c r="J84" s="18">
        <f t="shared" si="7"/>
        <v>0.25</v>
      </c>
      <c r="K84" s="18">
        <f t="shared" si="4"/>
        <v>4.1359999999999992</v>
      </c>
      <c r="L84" s="14" t="s">
        <v>32</v>
      </c>
      <c r="N84" s="20" t="s">
        <v>152</v>
      </c>
    </row>
    <row r="85" spans="1:16" x14ac:dyDescent="0.3">
      <c r="A85" s="11" t="str">
        <f>Tb_Dados[[#This Row],[CÓD]]&amp;Tb_Dados[[#This Row],[PRODUTO]]&amp;Tb_Dados[[#This Row],[MEDIDA]]</f>
        <v>3154BOX BENEFIT1280X1880X250</v>
      </c>
      <c r="B85" s="12" t="s">
        <v>13</v>
      </c>
      <c r="C85" s="13">
        <v>3154</v>
      </c>
      <c r="D85" s="14" t="s">
        <v>29</v>
      </c>
      <c r="E85" s="13" t="s">
        <v>34</v>
      </c>
      <c r="F85" s="15">
        <v>241.82130774842483</v>
      </c>
      <c r="G85" s="16">
        <v>120.91065387421241</v>
      </c>
      <c r="H85" s="17">
        <f t="shared" si="5"/>
        <v>1.28</v>
      </c>
      <c r="I85" s="17">
        <f t="shared" si="6"/>
        <v>1.88</v>
      </c>
      <c r="J85" s="18">
        <f t="shared" si="7"/>
        <v>0.25</v>
      </c>
      <c r="K85" s="18">
        <f t="shared" si="4"/>
        <v>6.016</v>
      </c>
      <c r="L85" s="14" t="s">
        <v>35</v>
      </c>
      <c r="N85" s="19" t="s">
        <v>153</v>
      </c>
    </row>
    <row r="86" spans="1:16" x14ac:dyDescent="0.3">
      <c r="A86" s="11" t="str">
        <f>Tb_Dados[[#This Row],[CÓD]]&amp;Tb_Dados[[#This Row],[PRODUTO]]&amp;Tb_Dados[[#This Row],[MEDIDA]]</f>
        <v>3154BOX BENEFIT1380X1880X250</v>
      </c>
      <c r="B86" s="12" t="s">
        <v>13</v>
      </c>
      <c r="C86" s="13">
        <v>3154</v>
      </c>
      <c r="D86" s="14" t="s">
        <v>29</v>
      </c>
      <c r="E86" s="13" t="s">
        <v>37</v>
      </c>
      <c r="F86" s="15">
        <v>241.82130774842483</v>
      </c>
      <c r="G86" s="16">
        <v>120.91065387421241</v>
      </c>
      <c r="H86" s="17">
        <f t="shared" si="5"/>
        <v>1.38</v>
      </c>
      <c r="I86" s="17">
        <f t="shared" si="6"/>
        <v>1.88</v>
      </c>
      <c r="J86" s="18">
        <f t="shared" si="7"/>
        <v>0.25</v>
      </c>
      <c r="K86" s="18">
        <f t="shared" si="4"/>
        <v>6.4859999999999998</v>
      </c>
      <c r="L86" s="14" t="s">
        <v>38</v>
      </c>
      <c r="N86" s="19" t="s">
        <v>78</v>
      </c>
    </row>
    <row r="87" spans="1:16" x14ac:dyDescent="0.3">
      <c r="A87" s="11" t="str">
        <f>Tb_Dados[[#This Row],[CÓD]]&amp;Tb_Dados[[#This Row],[PRODUTO]]&amp;Tb_Dados[[#This Row],[MEDIDA]]</f>
        <v>3483BOX BIPARTIDO BENEFIT1580X1980X250</v>
      </c>
      <c r="B87" s="12" t="s">
        <v>13</v>
      </c>
      <c r="C87" s="13">
        <v>3483</v>
      </c>
      <c r="D87" s="14" t="s">
        <v>39</v>
      </c>
      <c r="E87" s="13" t="s">
        <v>41</v>
      </c>
      <c r="F87" s="15">
        <v>371.10966609067452</v>
      </c>
      <c r="G87" s="16">
        <v>92.777416522668631</v>
      </c>
      <c r="H87" s="17">
        <f t="shared" si="5"/>
        <v>1.58</v>
      </c>
      <c r="I87" s="17">
        <f t="shared" si="6"/>
        <v>1.98</v>
      </c>
      <c r="J87" s="18">
        <f t="shared" si="7"/>
        <v>0.25</v>
      </c>
      <c r="K87" s="18">
        <f t="shared" si="4"/>
        <v>7.8209999999999997</v>
      </c>
      <c r="L87" s="14" t="s">
        <v>42</v>
      </c>
      <c r="N87" s="19" t="s">
        <v>154</v>
      </c>
    </row>
    <row r="88" spans="1:16" x14ac:dyDescent="0.3">
      <c r="A88" s="11" t="str">
        <f>Tb_Dados[[#This Row],[CÓD]]&amp;Tb_Dados[[#This Row],[PRODUTO]]&amp;Tb_Dados[[#This Row],[MEDIDA]]</f>
        <v>3483BOX BIPARTIDO BENEFIT1930X2030X250</v>
      </c>
      <c r="B88" s="12" t="s">
        <v>13</v>
      </c>
      <c r="C88" s="13">
        <v>3483</v>
      </c>
      <c r="D88" s="14" t="s">
        <v>39</v>
      </c>
      <c r="E88" s="13" t="s">
        <v>44</v>
      </c>
      <c r="F88" s="15">
        <v>416.48101779554457</v>
      </c>
      <c r="G88" s="16">
        <v>104.12025444888614</v>
      </c>
      <c r="H88" s="17">
        <f t="shared" si="5"/>
        <v>1.93</v>
      </c>
      <c r="I88" s="17">
        <f t="shared" si="6"/>
        <v>2.0299999999999998</v>
      </c>
      <c r="J88" s="18">
        <f t="shared" si="7"/>
        <v>0.25</v>
      </c>
      <c r="K88" s="18">
        <f t="shared" si="4"/>
        <v>9.7947499999999987</v>
      </c>
      <c r="L88" s="14" t="s">
        <v>45</v>
      </c>
      <c r="N88" s="19" t="s">
        <v>155</v>
      </c>
    </row>
    <row r="89" spans="1:16" x14ac:dyDescent="0.3">
      <c r="A89" s="11" t="str">
        <f>Tb_Dados[[#This Row],[CÓD]]&amp;Tb_Dados[[#This Row],[PRODUTO]]&amp;Tb_Dados[[#This Row],[MEDIDA]]</f>
        <v>3154BOX BENEFIT880X1880X300</v>
      </c>
      <c r="B89" s="12" t="s">
        <v>13</v>
      </c>
      <c r="C89" s="13">
        <v>3154</v>
      </c>
      <c r="D89" s="14" t="s">
        <v>29</v>
      </c>
      <c r="E89" s="13" t="s">
        <v>47</v>
      </c>
      <c r="F89" s="15">
        <v>193.97222024815531</v>
      </c>
      <c r="G89" s="16">
        <v>96.986110124077655</v>
      </c>
      <c r="H89" s="17">
        <f t="shared" si="5"/>
        <v>0.88</v>
      </c>
      <c r="I89" s="17">
        <f t="shared" si="6"/>
        <v>1.88</v>
      </c>
      <c r="J89" s="18">
        <f t="shared" si="7"/>
        <v>0.3</v>
      </c>
      <c r="K89" s="18">
        <f t="shared" si="4"/>
        <v>4.9631999999999996</v>
      </c>
      <c r="L89" s="14" t="s">
        <v>48</v>
      </c>
      <c r="N89" s="19" t="s">
        <v>156</v>
      </c>
    </row>
    <row r="90" spans="1:16" x14ac:dyDescent="0.3">
      <c r="A90" s="11" t="str">
        <f>Tb_Dados[[#This Row],[CÓD]]&amp;Tb_Dados[[#This Row],[PRODUTO]]&amp;Tb_Dados[[#This Row],[MEDIDA]]</f>
        <v>3154BOX BENEFIT1280X1880X300</v>
      </c>
      <c r="B90" s="12" t="s">
        <v>13</v>
      </c>
      <c r="C90" s="13">
        <v>3154</v>
      </c>
      <c r="D90" s="14" t="s">
        <v>29</v>
      </c>
      <c r="E90" s="13" t="s">
        <v>50</v>
      </c>
      <c r="F90" s="15">
        <v>250.3169132454604</v>
      </c>
      <c r="G90" s="16">
        <v>125.1584566227302</v>
      </c>
      <c r="H90" s="17">
        <f t="shared" si="5"/>
        <v>1.28</v>
      </c>
      <c r="I90" s="17">
        <f t="shared" si="6"/>
        <v>1.88</v>
      </c>
      <c r="J90" s="18">
        <f t="shared" si="7"/>
        <v>0.3</v>
      </c>
      <c r="K90" s="18">
        <f t="shared" si="4"/>
        <v>7.2191999999999998</v>
      </c>
      <c r="L90" s="14" t="s">
        <v>51</v>
      </c>
      <c r="N90" s="20" t="s">
        <v>157</v>
      </c>
    </row>
    <row r="91" spans="1:16" x14ac:dyDescent="0.3">
      <c r="A91" s="11" t="str">
        <f>Tb_Dados[[#This Row],[CÓD]]&amp;Tb_Dados[[#This Row],[PRODUTO]]&amp;Tb_Dados[[#This Row],[MEDIDA]]</f>
        <v>3154BOX BENEFIT1380X1880X300</v>
      </c>
      <c r="B91" s="12" t="s">
        <v>13</v>
      </c>
      <c r="C91" s="13">
        <v>3154</v>
      </c>
      <c r="D91" s="14" t="s">
        <v>29</v>
      </c>
      <c r="E91" s="13" t="s">
        <v>53</v>
      </c>
      <c r="F91" s="15">
        <v>250.3169132454604</v>
      </c>
      <c r="G91" s="16">
        <v>125.1584566227302</v>
      </c>
      <c r="H91" s="17">
        <f t="shared" si="5"/>
        <v>1.38</v>
      </c>
      <c r="I91" s="17">
        <f t="shared" si="6"/>
        <v>1.88</v>
      </c>
      <c r="J91" s="18">
        <f t="shared" si="7"/>
        <v>0.3</v>
      </c>
      <c r="K91" s="18">
        <f t="shared" si="4"/>
        <v>7.783199999999999</v>
      </c>
      <c r="L91" s="14" t="s">
        <v>54</v>
      </c>
      <c r="N91" s="19" t="s">
        <v>14</v>
      </c>
      <c r="P91" s="21" t="s">
        <v>158</v>
      </c>
    </row>
    <row r="92" spans="1:16" x14ac:dyDescent="0.3">
      <c r="A92" s="11" t="str">
        <f>Tb_Dados[[#This Row],[CÓD]]&amp;Tb_Dados[[#This Row],[PRODUTO]]&amp;Tb_Dados[[#This Row],[MEDIDA]]</f>
        <v>3483BOX BIPARTIDO BENEFIT1580X1980X300</v>
      </c>
      <c r="B92" s="12" t="s">
        <v>13</v>
      </c>
      <c r="C92" s="13">
        <v>3483</v>
      </c>
      <c r="D92" s="14" t="s">
        <v>39</v>
      </c>
      <c r="E92" s="13" t="s">
        <v>56</v>
      </c>
      <c r="F92" s="15">
        <v>386.07262955231067</v>
      </c>
      <c r="G92" s="16">
        <v>96.518157388077668</v>
      </c>
      <c r="H92" s="17">
        <f t="shared" si="5"/>
        <v>1.58</v>
      </c>
      <c r="I92" s="17">
        <f t="shared" si="6"/>
        <v>1.98</v>
      </c>
      <c r="J92" s="18">
        <f t="shared" si="7"/>
        <v>0.3</v>
      </c>
      <c r="K92" s="18">
        <f t="shared" si="4"/>
        <v>9.3852000000000011</v>
      </c>
      <c r="L92" s="14" t="s">
        <v>57</v>
      </c>
      <c r="N92" s="19" t="s">
        <v>159</v>
      </c>
    </row>
    <row r="93" spans="1:16" x14ac:dyDescent="0.3">
      <c r="A93" s="11" t="str">
        <f>Tb_Dados[[#This Row],[CÓD]]&amp;Tb_Dados[[#This Row],[PRODUTO]]&amp;Tb_Dados[[#This Row],[MEDIDA]]</f>
        <v>3483BOX BIPARTIDO BENEFIT1930X2030X300</v>
      </c>
      <c r="B93" s="12" t="s">
        <v>13</v>
      </c>
      <c r="C93" s="13">
        <v>3483</v>
      </c>
      <c r="D93" s="14" t="s">
        <v>39</v>
      </c>
      <c r="E93" s="13" t="s">
        <v>58</v>
      </c>
      <c r="F93" s="15">
        <v>431.01708027015479</v>
      </c>
      <c r="G93" s="16">
        <v>107.7542700675387</v>
      </c>
      <c r="H93" s="17">
        <f t="shared" si="5"/>
        <v>1.93</v>
      </c>
      <c r="I93" s="17">
        <f t="shared" si="6"/>
        <v>2.0299999999999998</v>
      </c>
      <c r="J93" s="18">
        <f t="shared" si="7"/>
        <v>0.3</v>
      </c>
      <c r="K93" s="18">
        <f t="shared" si="4"/>
        <v>11.753699999999998</v>
      </c>
      <c r="L93" s="14" t="s">
        <v>59</v>
      </c>
      <c r="N93" s="19" t="s">
        <v>160</v>
      </c>
    </row>
    <row r="94" spans="1:16" x14ac:dyDescent="0.3">
      <c r="A94" s="11" t="str">
        <f>Tb_Dados[[#This Row],[CÓD]]&amp;Tb_Dados[[#This Row],[PRODUTO]]&amp;Tb_Dados[[#This Row],[MEDIDA]]</f>
        <v>2899BOX COM AUXÍLIO BENEFIT880X1880X300</v>
      </c>
      <c r="B94" s="12" t="s">
        <v>13</v>
      </c>
      <c r="C94" s="13">
        <v>2899</v>
      </c>
      <c r="D94" s="14" t="s">
        <v>82</v>
      </c>
      <c r="E94" s="13" t="s">
        <v>47</v>
      </c>
      <c r="F94" s="15">
        <v>464.95608750799738</v>
      </c>
      <c r="G94" s="16">
        <v>232.47804375399869</v>
      </c>
      <c r="H94" s="17">
        <f t="shared" si="5"/>
        <v>0.88</v>
      </c>
      <c r="I94" s="17">
        <f t="shared" si="6"/>
        <v>1.88</v>
      </c>
      <c r="J94" s="18">
        <f t="shared" si="7"/>
        <v>0.3</v>
      </c>
      <c r="K94" s="18">
        <f t="shared" si="4"/>
        <v>4.9631999999999996</v>
      </c>
      <c r="L94" s="22" t="s">
        <v>161</v>
      </c>
      <c r="N94" s="19" t="s">
        <v>64</v>
      </c>
      <c r="P94" s="21" t="s">
        <v>162</v>
      </c>
    </row>
    <row r="95" spans="1:16" x14ac:dyDescent="0.3">
      <c r="A95" s="11" t="str">
        <f>Tb_Dados[[#This Row],[CÓD]]&amp;Tb_Dados[[#This Row],[PRODUTO]]&amp;Tb_Dados[[#This Row],[MEDIDA]]</f>
        <v>12918COLC NEW BENEFIT880X1880X320</v>
      </c>
      <c r="B95" s="12" t="s">
        <v>13</v>
      </c>
      <c r="C95" s="13">
        <v>12918</v>
      </c>
      <c r="D95" s="14" t="s">
        <v>160</v>
      </c>
      <c r="E95" s="13" t="s">
        <v>137</v>
      </c>
      <c r="F95" s="15">
        <v>421.34320219764174</v>
      </c>
      <c r="G95" s="16">
        <v>210.67160109882087</v>
      </c>
      <c r="H95" s="17">
        <f t="shared" si="5"/>
        <v>0.88</v>
      </c>
      <c r="I95" s="17">
        <f t="shared" si="6"/>
        <v>1.88</v>
      </c>
      <c r="J95" s="18">
        <f t="shared" si="7"/>
        <v>0.32</v>
      </c>
      <c r="K95" s="18">
        <f t="shared" si="4"/>
        <v>5.2940800000000001</v>
      </c>
      <c r="L95" s="14" t="s">
        <v>138</v>
      </c>
      <c r="N95" s="20" t="s">
        <v>163</v>
      </c>
    </row>
    <row r="96" spans="1:16" x14ac:dyDescent="0.3">
      <c r="A96" s="11" t="str">
        <f>Tb_Dados[[#This Row],[CÓD]]&amp;Tb_Dados[[#This Row],[PRODUTO]]&amp;Tb_Dados[[#This Row],[MEDIDA]]</f>
        <v>12918COLC NEW BENEFIT1280X1880X320</v>
      </c>
      <c r="B96" s="12" t="s">
        <v>13</v>
      </c>
      <c r="C96" s="13">
        <v>12918</v>
      </c>
      <c r="D96" s="14" t="s">
        <v>160</v>
      </c>
      <c r="E96" s="13" t="s">
        <v>140</v>
      </c>
      <c r="F96" s="15">
        <v>606.02754091830491</v>
      </c>
      <c r="G96" s="16">
        <v>303.01377045915245</v>
      </c>
      <c r="H96" s="17">
        <f t="shared" si="5"/>
        <v>1.28</v>
      </c>
      <c r="I96" s="17">
        <f t="shared" si="6"/>
        <v>1.88</v>
      </c>
      <c r="J96" s="18">
        <f t="shared" si="7"/>
        <v>0.32</v>
      </c>
      <c r="K96" s="18">
        <f t="shared" si="4"/>
        <v>7.7004800000000007</v>
      </c>
      <c r="L96" s="14" t="s">
        <v>141</v>
      </c>
      <c r="N96" s="20" t="s">
        <v>164</v>
      </c>
    </row>
    <row r="97" spans="1:14" x14ac:dyDescent="0.3">
      <c r="A97" s="11" t="str">
        <f>Tb_Dados[[#This Row],[CÓD]]&amp;Tb_Dados[[#This Row],[PRODUTO]]&amp;Tb_Dados[[#This Row],[MEDIDA]]</f>
        <v>12918COLC NEW BENEFIT1380X1880X320</v>
      </c>
      <c r="B97" s="12" t="s">
        <v>13</v>
      </c>
      <c r="C97" s="13">
        <v>12918</v>
      </c>
      <c r="D97" s="14" t="s">
        <v>160</v>
      </c>
      <c r="E97" s="13" t="s">
        <v>143</v>
      </c>
      <c r="F97" s="15">
        <v>606.02754091830491</v>
      </c>
      <c r="G97" s="16">
        <v>303.01377045915245</v>
      </c>
      <c r="H97" s="17">
        <f t="shared" si="5"/>
        <v>1.38</v>
      </c>
      <c r="I97" s="17">
        <f t="shared" si="6"/>
        <v>1.88</v>
      </c>
      <c r="J97" s="18">
        <f t="shared" si="7"/>
        <v>0.32</v>
      </c>
      <c r="K97" s="18">
        <f t="shared" si="4"/>
        <v>8.3020800000000001</v>
      </c>
      <c r="L97" s="14" t="s">
        <v>144</v>
      </c>
      <c r="N97" s="19" t="s">
        <v>97</v>
      </c>
    </row>
    <row r="98" spans="1:14" x14ac:dyDescent="0.3">
      <c r="A98" s="11" t="str">
        <f>Tb_Dados[[#This Row],[CÓD]]&amp;Tb_Dados[[#This Row],[PRODUTO]]&amp;Tb_Dados[[#This Row],[MEDIDA]]</f>
        <v>12918COLC NEW BENEFIT1580X1980X320</v>
      </c>
      <c r="B98" s="12" t="s">
        <v>13</v>
      </c>
      <c r="C98" s="13">
        <v>12918</v>
      </c>
      <c r="D98" s="14" t="s">
        <v>160</v>
      </c>
      <c r="E98" s="13" t="s">
        <v>146</v>
      </c>
      <c r="F98" s="15">
        <v>726.28687730074091</v>
      </c>
      <c r="G98" s="16">
        <v>363.14343865037046</v>
      </c>
      <c r="H98" s="17">
        <f t="shared" si="5"/>
        <v>1.58</v>
      </c>
      <c r="I98" s="17">
        <f t="shared" si="6"/>
        <v>1.98</v>
      </c>
      <c r="J98" s="18">
        <f t="shared" si="7"/>
        <v>0.32</v>
      </c>
      <c r="K98" s="18">
        <f t="shared" si="4"/>
        <v>10.01088</v>
      </c>
      <c r="L98" s="14" t="s">
        <v>147</v>
      </c>
      <c r="N98" s="19" t="s">
        <v>114</v>
      </c>
    </row>
    <row r="99" spans="1:14" x14ac:dyDescent="0.3">
      <c r="A99" s="11" t="str">
        <f>Tb_Dados[[#This Row],[CÓD]]&amp;Tb_Dados[[#This Row],[PRODUTO]]&amp;Tb_Dados[[#This Row],[MEDIDA]]</f>
        <v>12918COLC NEW BENEFIT1930X2030X320</v>
      </c>
      <c r="B99" s="12" t="s">
        <v>13</v>
      </c>
      <c r="C99" s="13">
        <v>12918</v>
      </c>
      <c r="D99" s="14" t="s">
        <v>160</v>
      </c>
      <c r="E99" s="13" t="s">
        <v>149</v>
      </c>
      <c r="F99" s="15">
        <v>893.98863223144497</v>
      </c>
      <c r="G99" s="16">
        <v>446.99431611572248</v>
      </c>
      <c r="H99" s="17">
        <f t="shared" si="5"/>
        <v>1.93</v>
      </c>
      <c r="I99" s="17">
        <f t="shared" si="6"/>
        <v>2.0299999999999998</v>
      </c>
      <c r="J99" s="18">
        <f t="shared" si="7"/>
        <v>0.32</v>
      </c>
      <c r="K99" s="18">
        <f t="shared" si="4"/>
        <v>12.537279999999999</v>
      </c>
      <c r="L99" s="14" t="s">
        <v>150</v>
      </c>
      <c r="N99" s="19" t="s">
        <v>110</v>
      </c>
    </row>
    <row r="100" spans="1:14" x14ac:dyDescent="0.3">
      <c r="A100" s="11" t="str">
        <f>Tb_Dados[[#This Row],[CÓD]]&amp;Tb_Dados[[#This Row],[PRODUTO]]&amp;Tb_Dados[[#This Row],[MEDIDA]]</f>
        <v>13192BOX NEW BENEFIT880X1880X250</v>
      </c>
      <c r="B100" s="12" t="s">
        <v>13</v>
      </c>
      <c r="C100" s="13">
        <v>13192</v>
      </c>
      <c r="D100" s="14" t="s">
        <v>121</v>
      </c>
      <c r="E100" s="13" t="s">
        <v>31</v>
      </c>
      <c r="F100" s="15">
        <v>194.39108079860742</v>
      </c>
      <c r="G100" s="16">
        <v>97.195540399303709</v>
      </c>
      <c r="H100" s="17">
        <f t="shared" si="5"/>
        <v>0.88</v>
      </c>
      <c r="I100" s="17">
        <f t="shared" si="6"/>
        <v>1.88</v>
      </c>
      <c r="J100" s="18">
        <f t="shared" si="7"/>
        <v>0.25</v>
      </c>
      <c r="K100" s="18">
        <f t="shared" si="4"/>
        <v>4.1359999999999992</v>
      </c>
      <c r="L100" s="14" t="s">
        <v>32</v>
      </c>
      <c r="N100" s="19" t="s">
        <v>165</v>
      </c>
    </row>
    <row r="101" spans="1:14" x14ac:dyDescent="0.3">
      <c r="A101" s="11" t="str">
        <f>Tb_Dados[[#This Row],[CÓD]]&amp;Tb_Dados[[#This Row],[PRODUTO]]&amp;Tb_Dados[[#This Row],[MEDIDA]]</f>
        <v>13192BOX NEW BENEFIT1280X1880X250</v>
      </c>
      <c r="B101" s="12" t="s">
        <v>13</v>
      </c>
      <c r="C101" s="13">
        <v>13192</v>
      </c>
      <c r="D101" s="14" t="s">
        <v>121</v>
      </c>
      <c r="E101" s="13" t="s">
        <v>34</v>
      </c>
      <c r="F101" s="15">
        <v>251.13242543706468</v>
      </c>
      <c r="G101" s="16">
        <v>125.56621271853234</v>
      </c>
      <c r="H101" s="17">
        <f t="shared" si="5"/>
        <v>1.28</v>
      </c>
      <c r="I101" s="17">
        <f t="shared" si="6"/>
        <v>1.88</v>
      </c>
      <c r="J101" s="18">
        <f t="shared" si="7"/>
        <v>0.25</v>
      </c>
      <c r="K101" s="18">
        <f t="shared" si="4"/>
        <v>6.016</v>
      </c>
      <c r="L101" s="14" t="s">
        <v>35</v>
      </c>
      <c r="N101" s="19" t="s">
        <v>166</v>
      </c>
    </row>
    <row r="102" spans="1:14" x14ac:dyDescent="0.3">
      <c r="A102" s="11" t="str">
        <f>Tb_Dados[[#This Row],[CÓD]]&amp;Tb_Dados[[#This Row],[PRODUTO]]&amp;Tb_Dados[[#This Row],[MEDIDA]]</f>
        <v>13192BOX NEW BENEFIT1380X1880X250</v>
      </c>
      <c r="B102" s="12" t="s">
        <v>13</v>
      </c>
      <c r="C102" s="13">
        <v>13192</v>
      </c>
      <c r="D102" s="14" t="s">
        <v>121</v>
      </c>
      <c r="E102" s="13" t="s">
        <v>37</v>
      </c>
      <c r="F102" s="15">
        <v>251.13242543706468</v>
      </c>
      <c r="G102" s="16">
        <v>125.56621271853234</v>
      </c>
      <c r="H102" s="17">
        <f t="shared" si="5"/>
        <v>1.38</v>
      </c>
      <c r="I102" s="17">
        <f t="shared" si="6"/>
        <v>1.88</v>
      </c>
      <c r="J102" s="18">
        <f t="shared" si="7"/>
        <v>0.25</v>
      </c>
      <c r="K102" s="18">
        <f t="shared" si="4"/>
        <v>6.4859999999999998</v>
      </c>
      <c r="L102" s="14" t="s">
        <v>38</v>
      </c>
      <c r="N102" s="19" t="s">
        <v>167</v>
      </c>
    </row>
    <row r="103" spans="1:14" x14ac:dyDescent="0.3">
      <c r="A103" s="11" t="str">
        <f>Tb_Dados[[#This Row],[CÓD]]&amp;Tb_Dados[[#This Row],[PRODUTO]]&amp;Tb_Dados[[#This Row],[MEDIDA]]</f>
        <v>13196BOX BIPARTIDO NEW BENEFIT1580X1980X250</v>
      </c>
      <c r="B103" s="12" t="s">
        <v>13</v>
      </c>
      <c r="C103" s="13">
        <v>13196</v>
      </c>
      <c r="D103" s="14" t="s">
        <v>67</v>
      </c>
      <c r="E103" s="13" t="s">
        <v>41</v>
      </c>
      <c r="F103" s="15">
        <v>386.91035065321489</v>
      </c>
      <c r="G103" s="16">
        <v>96.727587663303723</v>
      </c>
      <c r="H103" s="17">
        <f t="shared" si="5"/>
        <v>1.58</v>
      </c>
      <c r="I103" s="17">
        <f t="shared" si="6"/>
        <v>1.98</v>
      </c>
      <c r="J103" s="18">
        <f t="shared" si="7"/>
        <v>0.25</v>
      </c>
      <c r="K103" s="18">
        <f t="shared" si="4"/>
        <v>7.8209999999999997</v>
      </c>
      <c r="L103" s="14" t="s">
        <v>42</v>
      </c>
      <c r="N103" s="19" t="s">
        <v>168</v>
      </c>
    </row>
    <row r="104" spans="1:14" x14ac:dyDescent="0.3">
      <c r="A104" s="11" t="str">
        <f>Tb_Dados[[#This Row],[CÓD]]&amp;Tb_Dados[[#This Row],[PRODUTO]]&amp;Tb_Dados[[#This Row],[MEDIDA]]</f>
        <v>13196BOX BIPARTIDO NEW BENEFIT1930X2030X250</v>
      </c>
      <c r="B104" s="12" t="s">
        <v>13</v>
      </c>
      <c r="C104" s="13">
        <v>13196</v>
      </c>
      <c r="D104" s="14" t="s">
        <v>67</v>
      </c>
      <c r="E104" s="13" t="s">
        <v>44</v>
      </c>
      <c r="F104" s="15">
        <v>433.41032268398061</v>
      </c>
      <c r="G104" s="16">
        <v>108.35258067099515</v>
      </c>
      <c r="H104" s="17">
        <f t="shared" si="5"/>
        <v>1.93</v>
      </c>
      <c r="I104" s="17">
        <f t="shared" si="6"/>
        <v>2.0299999999999998</v>
      </c>
      <c r="J104" s="18">
        <f t="shared" si="7"/>
        <v>0.25</v>
      </c>
      <c r="K104" s="18">
        <f t="shared" si="4"/>
        <v>9.7947499999999987</v>
      </c>
      <c r="L104" s="14" t="s">
        <v>45</v>
      </c>
      <c r="N104" s="19" t="s">
        <v>169</v>
      </c>
    </row>
    <row r="105" spans="1:14" x14ac:dyDescent="0.3">
      <c r="A105" s="11" t="str">
        <f>Tb_Dados[[#This Row],[CÓD]]&amp;Tb_Dados[[#This Row],[PRODUTO]]&amp;Tb_Dados[[#This Row],[MEDIDA]]</f>
        <v>13192BOX NEW BENEFIT880X1880X300</v>
      </c>
      <c r="B105" s="12" t="s">
        <v>13</v>
      </c>
      <c r="C105" s="13">
        <v>13192</v>
      </c>
      <c r="D105" s="14" t="s">
        <v>121</v>
      </c>
      <c r="E105" s="13" t="s">
        <v>47</v>
      </c>
      <c r="F105" s="15">
        <v>203.09903338898752</v>
      </c>
      <c r="G105" s="16">
        <v>101.54951669449376</v>
      </c>
      <c r="H105" s="17">
        <f t="shared" si="5"/>
        <v>0.88</v>
      </c>
      <c r="I105" s="17">
        <f t="shared" si="6"/>
        <v>1.88</v>
      </c>
      <c r="J105" s="18">
        <f t="shared" si="7"/>
        <v>0.3</v>
      </c>
      <c r="K105" s="18">
        <f t="shared" si="4"/>
        <v>4.9631999999999996</v>
      </c>
      <c r="L105" s="14" t="s">
        <v>48</v>
      </c>
      <c r="N105" s="20" t="s">
        <v>170</v>
      </c>
    </row>
    <row r="106" spans="1:14" x14ac:dyDescent="0.3">
      <c r="A106" s="11" t="str">
        <f>Tb_Dados[[#This Row],[CÓD]]&amp;Tb_Dados[[#This Row],[PRODUTO]]&amp;Tb_Dados[[#This Row],[MEDIDA]]</f>
        <v>13192BOX NEW BENEFIT1280X1880X300</v>
      </c>
      <c r="B106" s="12" t="s">
        <v>13</v>
      </c>
      <c r="C106" s="13">
        <v>13192</v>
      </c>
      <c r="D106" s="14" t="s">
        <v>121</v>
      </c>
      <c r="E106" s="13" t="s">
        <v>50</v>
      </c>
      <c r="F106" s="15">
        <v>261.07351444715545</v>
      </c>
      <c r="G106" s="16">
        <v>130.53675722357772</v>
      </c>
      <c r="H106" s="17">
        <f t="shared" si="5"/>
        <v>1.28</v>
      </c>
      <c r="I106" s="17">
        <f t="shared" si="6"/>
        <v>1.88</v>
      </c>
      <c r="J106" s="18">
        <f t="shared" si="7"/>
        <v>0.3</v>
      </c>
      <c r="K106" s="18">
        <f t="shared" si="4"/>
        <v>7.2191999999999998</v>
      </c>
      <c r="L106" s="14" t="s">
        <v>51</v>
      </c>
      <c r="N106" s="19" t="s">
        <v>171</v>
      </c>
    </row>
    <row r="107" spans="1:14" x14ac:dyDescent="0.3">
      <c r="A107" s="11" t="str">
        <f>Tb_Dados[[#This Row],[CÓD]]&amp;Tb_Dados[[#This Row],[PRODUTO]]&amp;Tb_Dados[[#This Row],[MEDIDA]]</f>
        <v>13192BOX NEW BENEFIT1380X1880X300</v>
      </c>
      <c r="B107" s="12" t="s">
        <v>13</v>
      </c>
      <c r="C107" s="13">
        <v>13192</v>
      </c>
      <c r="D107" s="14" t="s">
        <v>121</v>
      </c>
      <c r="E107" s="13" t="s">
        <v>53</v>
      </c>
      <c r="F107" s="15">
        <v>261.07351444715545</v>
      </c>
      <c r="G107" s="16">
        <v>130.53675722357772</v>
      </c>
      <c r="H107" s="17">
        <f t="shared" si="5"/>
        <v>1.38</v>
      </c>
      <c r="I107" s="17">
        <f t="shared" si="6"/>
        <v>1.88</v>
      </c>
      <c r="J107" s="18">
        <f t="shared" si="7"/>
        <v>0.3</v>
      </c>
      <c r="K107" s="18">
        <f t="shared" si="4"/>
        <v>7.783199999999999</v>
      </c>
      <c r="L107" s="14" t="s">
        <v>54</v>
      </c>
      <c r="N107" s="19" t="s">
        <v>172</v>
      </c>
    </row>
    <row r="108" spans="1:14" x14ac:dyDescent="0.3">
      <c r="A108" s="11" t="str">
        <f>Tb_Dados[[#This Row],[CÓD]]&amp;Tb_Dados[[#This Row],[PRODUTO]]&amp;Tb_Dados[[#This Row],[MEDIDA]]</f>
        <v>13196BOX BIPARTIDO NEW BENEFIT1580X1980X300</v>
      </c>
      <c r="B108" s="12" t="s">
        <v>13</v>
      </c>
      <c r="C108" s="13">
        <v>13196</v>
      </c>
      <c r="D108" s="14" t="s">
        <v>67</v>
      </c>
      <c r="E108" s="13" t="s">
        <v>56</v>
      </c>
      <c r="F108" s="15">
        <v>404.3262558339751</v>
      </c>
      <c r="G108" s="16">
        <v>101.08156395849377</v>
      </c>
      <c r="H108" s="17">
        <f t="shared" si="5"/>
        <v>1.58</v>
      </c>
      <c r="I108" s="17">
        <f t="shared" si="6"/>
        <v>1.98</v>
      </c>
      <c r="J108" s="18">
        <f t="shared" si="7"/>
        <v>0.3</v>
      </c>
      <c r="K108" s="18">
        <f t="shared" si="4"/>
        <v>9.3852000000000011</v>
      </c>
      <c r="L108" s="14" t="s">
        <v>57</v>
      </c>
      <c r="N108" s="20" t="s">
        <v>173</v>
      </c>
    </row>
    <row r="109" spans="1:14" x14ac:dyDescent="0.3">
      <c r="A109" s="11" t="str">
        <f>Tb_Dados[[#This Row],[CÓD]]&amp;Tb_Dados[[#This Row],[PRODUTO]]&amp;Tb_Dados[[#This Row],[MEDIDA]]</f>
        <v>13196BOX BIPARTIDO NEW BENEFIT1930X2030X300</v>
      </c>
      <c r="B109" s="12" t="s">
        <v>13</v>
      </c>
      <c r="C109" s="13">
        <v>13196</v>
      </c>
      <c r="D109" s="14" t="s">
        <v>67</v>
      </c>
      <c r="E109" s="13" t="s">
        <v>58</v>
      </c>
      <c r="F109" s="15">
        <v>450.57453700050951</v>
      </c>
      <c r="G109" s="16">
        <v>112.64363425012738</v>
      </c>
      <c r="H109" s="17">
        <f t="shared" si="5"/>
        <v>1.93</v>
      </c>
      <c r="I109" s="17">
        <f t="shared" si="6"/>
        <v>2.0299999999999998</v>
      </c>
      <c r="J109" s="18">
        <f t="shared" si="7"/>
        <v>0.3</v>
      </c>
      <c r="K109" s="18">
        <f t="shared" si="4"/>
        <v>11.753699999999998</v>
      </c>
      <c r="L109" s="14" t="s">
        <v>59</v>
      </c>
      <c r="N109" s="20" t="s">
        <v>174</v>
      </c>
    </row>
    <row r="110" spans="1:14" x14ac:dyDescent="0.3">
      <c r="A110" s="11" t="str">
        <f>Tb_Dados[[#This Row],[CÓD]]&amp;Tb_Dados[[#This Row],[PRODUTO]]&amp;Tb_Dados[[#This Row],[MEDIDA]]</f>
        <v>3454COLC GRAND HOTEL880X1880X270</v>
      </c>
      <c r="B110" s="12" t="s">
        <v>13</v>
      </c>
      <c r="C110" s="13">
        <v>3454</v>
      </c>
      <c r="D110" s="14" t="s">
        <v>153</v>
      </c>
      <c r="E110" s="13" t="s">
        <v>175</v>
      </c>
      <c r="F110" s="15">
        <v>657.47199387073488</v>
      </c>
      <c r="G110" s="16">
        <v>328.73599693536744</v>
      </c>
      <c r="H110" s="17">
        <f t="shared" si="5"/>
        <v>0.88</v>
      </c>
      <c r="I110" s="17">
        <f t="shared" si="6"/>
        <v>1.88</v>
      </c>
      <c r="J110" s="18">
        <f t="shared" si="7"/>
        <v>0.27</v>
      </c>
      <c r="K110" s="18">
        <f t="shared" si="4"/>
        <v>4.4668799999999997</v>
      </c>
      <c r="L110" s="14" t="s">
        <v>176</v>
      </c>
      <c r="N110" s="23" t="s">
        <v>177</v>
      </c>
    </row>
    <row r="111" spans="1:14" x14ac:dyDescent="0.3">
      <c r="A111" s="11" t="str">
        <f>Tb_Dados[[#This Row],[CÓD]]&amp;Tb_Dados[[#This Row],[PRODUTO]]&amp;Tb_Dados[[#This Row],[MEDIDA]]</f>
        <v>3454COLC GRAND HOTEL1380X1880X270</v>
      </c>
      <c r="B111" s="12" t="s">
        <v>13</v>
      </c>
      <c r="C111" s="13">
        <v>3454</v>
      </c>
      <c r="D111" s="14" t="s">
        <v>153</v>
      </c>
      <c r="E111" s="13" t="s">
        <v>178</v>
      </c>
      <c r="F111" s="15">
        <v>953.81103576898022</v>
      </c>
      <c r="G111" s="16">
        <v>476.90551788449011</v>
      </c>
      <c r="H111" s="17">
        <f t="shared" si="5"/>
        <v>1.38</v>
      </c>
      <c r="I111" s="17">
        <f t="shared" si="6"/>
        <v>1.88</v>
      </c>
      <c r="J111" s="18">
        <f t="shared" si="7"/>
        <v>0.27</v>
      </c>
      <c r="K111" s="18">
        <f t="shared" si="4"/>
        <v>7.00488</v>
      </c>
      <c r="L111" s="14" t="s">
        <v>179</v>
      </c>
      <c r="N111" s="19" t="s">
        <v>180</v>
      </c>
    </row>
    <row r="112" spans="1:14" x14ac:dyDescent="0.3">
      <c r="A112" s="11" t="str">
        <f>Tb_Dados[[#This Row],[CÓD]]&amp;Tb_Dados[[#This Row],[PRODUTO]]&amp;Tb_Dados[[#This Row],[MEDIDA]]</f>
        <v>3454COLC GRAND HOTEL1580X1980X270</v>
      </c>
      <c r="B112" s="12" t="s">
        <v>13</v>
      </c>
      <c r="C112" s="13">
        <v>3454</v>
      </c>
      <c r="D112" s="14" t="s">
        <v>153</v>
      </c>
      <c r="E112" s="13" t="s">
        <v>181</v>
      </c>
      <c r="F112" s="15">
        <v>1108.1803416274911</v>
      </c>
      <c r="G112" s="16">
        <v>554.09017081374554</v>
      </c>
      <c r="H112" s="17">
        <f t="shared" si="5"/>
        <v>1.58</v>
      </c>
      <c r="I112" s="17">
        <f t="shared" si="6"/>
        <v>1.98</v>
      </c>
      <c r="J112" s="18">
        <f t="shared" si="7"/>
        <v>0.27</v>
      </c>
      <c r="K112" s="18">
        <f t="shared" si="4"/>
        <v>8.4466800000000006</v>
      </c>
      <c r="L112" s="14" t="s">
        <v>182</v>
      </c>
      <c r="N112" s="20" t="s">
        <v>183</v>
      </c>
    </row>
    <row r="113" spans="1:14" x14ac:dyDescent="0.3">
      <c r="A113" s="11" t="str">
        <f>Tb_Dados[[#This Row],[CÓD]]&amp;Tb_Dados[[#This Row],[PRODUTO]]&amp;Tb_Dados[[#This Row],[MEDIDA]]</f>
        <v>3454COLC GRAND HOTEL1930X2030X270</v>
      </c>
      <c r="B113" s="12" t="s">
        <v>13</v>
      </c>
      <c r="C113" s="13">
        <v>3454</v>
      </c>
      <c r="D113" s="14" t="s">
        <v>153</v>
      </c>
      <c r="E113" s="13" t="s">
        <v>184</v>
      </c>
      <c r="F113" s="15">
        <v>1360.2189978625993</v>
      </c>
      <c r="G113" s="16">
        <v>680.10949893129964</v>
      </c>
      <c r="H113" s="17">
        <f t="shared" si="5"/>
        <v>1.93</v>
      </c>
      <c r="I113" s="17">
        <f t="shared" si="6"/>
        <v>2.0299999999999998</v>
      </c>
      <c r="J113" s="18">
        <f t="shared" si="7"/>
        <v>0.27</v>
      </c>
      <c r="K113" s="18">
        <f t="shared" si="4"/>
        <v>10.578330000000001</v>
      </c>
      <c r="L113" s="14" t="s">
        <v>185</v>
      </c>
      <c r="N113" s="20" t="s">
        <v>186</v>
      </c>
    </row>
    <row r="114" spans="1:14" x14ac:dyDescent="0.3">
      <c r="A114" s="11" t="str">
        <f>Tb_Dados[[#This Row],[CÓD]]&amp;Tb_Dados[[#This Row],[PRODUTO]]&amp;Tb_Dados[[#This Row],[MEDIDA]]</f>
        <v>3455BOX GRAND HOTEL880X1880X250</v>
      </c>
      <c r="B114" s="12" t="s">
        <v>13</v>
      </c>
      <c r="C114" s="13">
        <v>3455</v>
      </c>
      <c r="D114" s="14" t="s">
        <v>111</v>
      </c>
      <c r="E114" s="13" t="s">
        <v>31</v>
      </c>
      <c r="F114" s="15">
        <v>221.69919346733727</v>
      </c>
      <c r="G114" s="16">
        <v>110.84959673366863</v>
      </c>
      <c r="H114" s="17">
        <f t="shared" si="5"/>
        <v>0.88</v>
      </c>
      <c r="I114" s="17">
        <f t="shared" si="6"/>
        <v>1.88</v>
      </c>
      <c r="J114" s="18">
        <f t="shared" si="7"/>
        <v>0.25</v>
      </c>
      <c r="K114" s="18">
        <f t="shared" si="4"/>
        <v>4.1359999999999992</v>
      </c>
      <c r="L114" s="14" t="s">
        <v>32</v>
      </c>
      <c r="N114" s="20" t="s">
        <v>187</v>
      </c>
    </row>
    <row r="115" spans="1:14" x14ac:dyDescent="0.3">
      <c r="A115" s="11" t="str">
        <f>Tb_Dados[[#This Row],[CÓD]]&amp;Tb_Dados[[#This Row],[PRODUTO]]&amp;Tb_Dados[[#This Row],[MEDIDA]]</f>
        <v>3455BOX GRAND HOTEL1380X1880X250</v>
      </c>
      <c r="B115" s="12" t="s">
        <v>13</v>
      </c>
      <c r="C115" s="13">
        <v>3455</v>
      </c>
      <c r="D115" s="14" t="s">
        <v>111</v>
      </c>
      <c r="E115" s="13" t="s">
        <v>37</v>
      </c>
      <c r="F115" s="15">
        <v>274.99864459842479</v>
      </c>
      <c r="G115" s="16">
        <v>137.49932229921239</v>
      </c>
      <c r="H115" s="17">
        <f t="shared" si="5"/>
        <v>1.38</v>
      </c>
      <c r="I115" s="17">
        <f t="shared" si="6"/>
        <v>1.88</v>
      </c>
      <c r="J115" s="18">
        <f t="shared" si="7"/>
        <v>0.25</v>
      </c>
      <c r="K115" s="18">
        <f t="shared" si="4"/>
        <v>6.4859999999999998</v>
      </c>
      <c r="L115" s="14" t="s">
        <v>38</v>
      </c>
      <c r="N115" s="20" t="s">
        <v>188</v>
      </c>
    </row>
    <row r="116" spans="1:14" x14ac:dyDescent="0.3">
      <c r="A116" s="11" t="str">
        <f>Tb_Dados[[#This Row],[CÓD]]&amp;Tb_Dados[[#This Row],[PRODUTO]]&amp;Tb_Dados[[#This Row],[MEDIDA]]</f>
        <v>3486BOX BIPARTIDO GRAND HOTEL1580X1980X250</v>
      </c>
      <c r="B116" s="12" t="s">
        <v>13</v>
      </c>
      <c r="C116" s="13">
        <v>3486</v>
      </c>
      <c r="D116" s="14" t="s">
        <v>46</v>
      </c>
      <c r="E116" s="13" t="s">
        <v>41</v>
      </c>
      <c r="F116" s="15">
        <v>427.56348479067452</v>
      </c>
      <c r="G116" s="16">
        <v>106.89087119766863</v>
      </c>
      <c r="H116" s="17">
        <f t="shared" si="5"/>
        <v>1.58</v>
      </c>
      <c r="I116" s="17">
        <f t="shared" si="6"/>
        <v>1.98</v>
      </c>
      <c r="J116" s="18">
        <f t="shared" si="7"/>
        <v>0.25</v>
      </c>
      <c r="K116" s="18">
        <f t="shared" si="4"/>
        <v>7.8209999999999997</v>
      </c>
      <c r="L116" s="14" t="s">
        <v>42</v>
      </c>
      <c r="N116" s="20" t="s">
        <v>189</v>
      </c>
    </row>
    <row r="117" spans="1:14" x14ac:dyDescent="0.3">
      <c r="A117" s="11" t="str">
        <f>Tb_Dados[[#This Row],[CÓD]]&amp;Tb_Dados[[#This Row],[PRODUTO]]&amp;Tb_Dados[[#This Row],[MEDIDA]]</f>
        <v>3486BOX BIPARTIDO GRAND HOTEL1930X2030X250</v>
      </c>
      <c r="B117" s="12" t="s">
        <v>13</v>
      </c>
      <c r="C117" s="13">
        <v>3486</v>
      </c>
      <c r="D117" s="14" t="s">
        <v>46</v>
      </c>
      <c r="E117" s="13" t="s">
        <v>44</v>
      </c>
      <c r="F117" s="15">
        <v>480.04441049554458</v>
      </c>
      <c r="G117" s="16">
        <v>120.01110262388615</v>
      </c>
      <c r="H117" s="17">
        <f t="shared" si="5"/>
        <v>1.93</v>
      </c>
      <c r="I117" s="17">
        <f t="shared" si="6"/>
        <v>2.0299999999999998</v>
      </c>
      <c r="J117" s="18">
        <f t="shared" si="7"/>
        <v>0.25</v>
      </c>
      <c r="K117" s="18">
        <f t="shared" si="4"/>
        <v>9.7947499999999987</v>
      </c>
      <c r="L117" s="14" t="s">
        <v>45</v>
      </c>
      <c r="N117" s="20" t="s">
        <v>190</v>
      </c>
    </row>
    <row r="118" spans="1:14" x14ac:dyDescent="0.3">
      <c r="A118" s="11" t="str">
        <f>Tb_Dados[[#This Row],[CÓD]]&amp;Tb_Dados[[#This Row],[PRODUTO]]&amp;Tb_Dados[[#This Row],[MEDIDA]]</f>
        <v>12917COLC SPRING FLEX ECO880X1880X220</v>
      </c>
      <c r="B118" s="24" t="s">
        <v>13</v>
      </c>
      <c r="C118" s="25">
        <v>12917</v>
      </c>
      <c r="D118" s="19" t="s">
        <v>168</v>
      </c>
      <c r="E118" s="25" t="s">
        <v>191</v>
      </c>
      <c r="F118" s="26">
        <v>296.89011160445585</v>
      </c>
      <c r="G118" s="27">
        <v>148.44505580222793</v>
      </c>
      <c r="H118" s="28">
        <f t="shared" si="5"/>
        <v>0.88</v>
      </c>
      <c r="I118" s="28">
        <f t="shared" si="6"/>
        <v>1.88</v>
      </c>
      <c r="J118" s="29">
        <f t="shared" si="7"/>
        <v>0.22</v>
      </c>
      <c r="K118" s="29">
        <f t="shared" si="4"/>
        <v>3.6396799999999994</v>
      </c>
      <c r="L118" s="19" t="s">
        <v>192</v>
      </c>
      <c r="M118" s="30"/>
      <c r="N118" s="20" t="s">
        <v>193</v>
      </c>
    </row>
    <row r="119" spans="1:14" x14ac:dyDescent="0.3">
      <c r="A119" s="11" t="str">
        <f>Tb_Dados[[#This Row],[CÓD]]&amp;Tb_Dados[[#This Row],[PRODUTO]]&amp;Tb_Dados[[#This Row],[MEDIDA]]</f>
        <v>12917COLC SPRING FLEX ECO1280X1880X220</v>
      </c>
      <c r="B119" s="12" t="s">
        <v>13</v>
      </c>
      <c r="C119" s="13">
        <v>12917</v>
      </c>
      <c r="D119" s="14" t="s">
        <v>168</v>
      </c>
      <c r="E119" s="13" t="s">
        <v>194</v>
      </c>
      <c r="F119" s="15">
        <v>432.12674877387218</v>
      </c>
      <c r="G119" s="16">
        <v>216.06337438693609</v>
      </c>
      <c r="H119" s="17">
        <f t="shared" si="5"/>
        <v>1.28</v>
      </c>
      <c r="I119" s="17">
        <f t="shared" si="6"/>
        <v>1.88</v>
      </c>
      <c r="J119" s="18">
        <f t="shared" si="7"/>
        <v>0.22</v>
      </c>
      <c r="K119" s="18">
        <f t="shared" si="4"/>
        <v>5.2940800000000001</v>
      </c>
      <c r="L119" s="14" t="s">
        <v>195</v>
      </c>
      <c r="N119" s="20" t="s">
        <v>196</v>
      </c>
    </row>
    <row r="120" spans="1:14" x14ac:dyDescent="0.3">
      <c r="A120" s="11" t="str">
        <f>Tb_Dados[[#This Row],[CÓD]]&amp;Tb_Dados[[#This Row],[PRODUTO]]&amp;Tb_Dados[[#This Row],[MEDIDA]]</f>
        <v>12917COLC SPRING FLEX ECO1380X1880X220</v>
      </c>
      <c r="B120" s="12" t="s">
        <v>13</v>
      </c>
      <c r="C120" s="13">
        <v>12917</v>
      </c>
      <c r="D120" s="14" t="s">
        <v>168</v>
      </c>
      <c r="E120" s="13" t="s">
        <v>197</v>
      </c>
      <c r="F120" s="15">
        <v>432.12674877387218</v>
      </c>
      <c r="G120" s="16">
        <v>216.06337438693609</v>
      </c>
      <c r="H120" s="17">
        <f t="shared" si="5"/>
        <v>1.38</v>
      </c>
      <c r="I120" s="17">
        <f t="shared" si="6"/>
        <v>1.88</v>
      </c>
      <c r="J120" s="18">
        <f t="shared" si="7"/>
        <v>0.22</v>
      </c>
      <c r="K120" s="18">
        <f t="shared" si="4"/>
        <v>5.7076799999999999</v>
      </c>
      <c r="L120" s="14" t="s">
        <v>198</v>
      </c>
      <c r="N120" s="23" t="s">
        <v>199</v>
      </c>
    </row>
    <row r="121" spans="1:14" x14ac:dyDescent="0.3">
      <c r="A121" s="11" t="str">
        <f>Tb_Dados[[#This Row],[CÓD]]&amp;Tb_Dados[[#This Row],[PRODUTO]]&amp;Tb_Dados[[#This Row],[MEDIDA]]</f>
        <v>12917COLC SPRING FLEX ECO1580X1980X220</v>
      </c>
      <c r="B121" s="12" t="s">
        <v>13</v>
      </c>
      <c r="C121" s="13">
        <v>12917</v>
      </c>
      <c r="D121" s="14" t="s">
        <v>168</v>
      </c>
      <c r="E121" s="13" t="s">
        <v>200</v>
      </c>
      <c r="F121" s="15">
        <v>504.30331731666365</v>
      </c>
      <c r="G121" s="16">
        <v>252.15165865833183</v>
      </c>
      <c r="H121" s="17">
        <f t="shared" si="5"/>
        <v>1.58</v>
      </c>
      <c r="I121" s="17">
        <f t="shared" si="6"/>
        <v>1.98</v>
      </c>
      <c r="J121" s="18">
        <f t="shared" si="7"/>
        <v>0.22</v>
      </c>
      <c r="K121" s="18">
        <f t="shared" si="4"/>
        <v>6.8824799999999993</v>
      </c>
      <c r="L121" s="14" t="s">
        <v>201</v>
      </c>
      <c r="N121" s="20" t="s">
        <v>202</v>
      </c>
    </row>
    <row r="122" spans="1:14" x14ac:dyDescent="0.3">
      <c r="A122" s="11" t="str">
        <f>Tb_Dados[[#This Row],[CÓD]]&amp;Tb_Dados[[#This Row],[PRODUTO]]&amp;Tb_Dados[[#This Row],[MEDIDA]]</f>
        <v>12917COLC SPRING FLEX ECO1930X2030X220</v>
      </c>
      <c r="B122" s="12" t="s">
        <v>13</v>
      </c>
      <c r="C122" s="13">
        <v>12917</v>
      </c>
      <c r="D122" s="14" t="s">
        <v>168</v>
      </c>
      <c r="E122" s="13" t="s">
        <v>203</v>
      </c>
      <c r="F122" s="15">
        <v>633.92635246462862</v>
      </c>
      <c r="G122" s="16">
        <v>316.96317623231431</v>
      </c>
      <c r="H122" s="17">
        <f t="shared" si="5"/>
        <v>1.93</v>
      </c>
      <c r="I122" s="17">
        <f t="shared" si="6"/>
        <v>2.0299999999999998</v>
      </c>
      <c r="J122" s="18">
        <f t="shared" si="7"/>
        <v>0.22</v>
      </c>
      <c r="K122" s="18">
        <f t="shared" si="4"/>
        <v>8.6193799999999996</v>
      </c>
      <c r="L122" s="14" t="s">
        <v>204</v>
      </c>
      <c r="N122" s="20" t="s">
        <v>205</v>
      </c>
    </row>
    <row r="123" spans="1:14" x14ac:dyDescent="0.3">
      <c r="A123" s="11" t="str">
        <f>Tb_Dados[[#This Row],[CÓD]]&amp;Tb_Dados[[#This Row],[PRODUTO]]&amp;Tb_Dados[[#This Row],[MEDIDA]]</f>
        <v>2768COLC SPRING FLEX880X1880X250</v>
      </c>
      <c r="B123" s="12" t="s">
        <v>13</v>
      </c>
      <c r="C123" s="13">
        <v>2768</v>
      </c>
      <c r="D123" s="14" t="s">
        <v>167</v>
      </c>
      <c r="E123" s="13" t="s">
        <v>31</v>
      </c>
      <c r="F123" s="15">
        <v>315.79533993206593</v>
      </c>
      <c r="G123" s="16">
        <v>157.89766996603296</v>
      </c>
      <c r="H123" s="17">
        <f t="shared" si="5"/>
        <v>0.88</v>
      </c>
      <c r="I123" s="17">
        <f t="shared" si="6"/>
        <v>1.88</v>
      </c>
      <c r="J123" s="18">
        <f t="shared" si="7"/>
        <v>0.25</v>
      </c>
      <c r="K123" s="18">
        <f t="shared" si="4"/>
        <v>4.1359999999999992</v>
      </c>
      <c r="L123" s="14" t="s">
        <v>32</v>
      </c>
      <c r="N123" s="23" t="s">
        <v>206</v>
      </c>
    </row>
    <row r="124" spans="1:14" x14ac:dyDescent="0.3">
      <c r="A124" s="11" t="str">
        <f>Tb_Dados[[#This Row],[CÓD]]&amp;Tb_Dados[[#This Row],[PRODUTO]]&amp;Tb_Dados[[#This Row],[MEDIDA]]</f>
        <v>2768COLC SPRING FLEX1280X1880X250</v>
      </c>
      <c r="B124" s="12" t="s">
        <v>13</v>
      </c>
      <c r="C124" s="13">
        <v>2768</v>
      </c>
      <c r="D124" s="14" t="s">
        <v>167</v>
      </c>
      <c r="E124" s="13" t="s">
        <v>34</v>
      </c>
      <c r="F124" s="15">
        <v>429.09823353868887</v>
      </c>
      <c r="G124" s="16">
        <v>214.54911676934444</v>
      </c>
      <c r="H124" s="17">
        <f t="shared" si="5"/>
        <v>1.28</v>
      </c>
      <c r="I124" s="17">
        <f t="shared" si="6"/>
        <v>1.88</v>
      </c>
      <c r="J124" s="18">
        <f t="shared" si="7"/>
        <v>0.25</v>
      </c>
      <c r="K124" s="18">
        <f t="shared" si="4"/>
        <v>6.016</v>
      </c>
      <c r="L124" s="14" t="s">
        <v>35</v>
      </c>
    </row>
    <row r="125" spans="1:14" x14ac:dyDescent="0.3">
      <c r="A125" s="11" t="str">
        <f>Tb_Dados[[#This Row],[CÓD]]&amp;Tb_Dados[[#This Row],[PRODUTO]]&amp;Tb_Dados[[#This Row],[MEDIDA]]</f>
        <v>2768COLC SPRING FLEX1380X1880X250</v>
      </c>
      <c r="B125" s="12" t="s">
        <v>13</v>
      </c>
      <c r="C125" s="13">
        <v>2768</v>
      </c>
      <c r="D125" s="14" t="s">
        <v>167</v>
      </c>
      <c r="E125" s="13" t="s">
        <v>37</v>
      </c>
      <c r="F125" s="15">
        <v>429.09823353868887</v>
      </c>
      <c r="G125" s="16">
        <v>214.54911676934444</v>
      </c>
      <c r="H125" s="17">
        <f t="shared" si="5"/>
        <v>1.38</v>
      </c>
      <c r="I125" s="17">
        <f t="shared" si="6"/>
        <v>1.88</v>
      </c>
      <c r="J125" s="18">
        <f t="shared" si="7"/>
        <v>0.25</v>
      </c>
      <c r="K125" s="18">
        <f t="shared" si="4"/>
        <v>6.4859999999999998</v>
      </c>
      <c r="L125" s="14" t="s">
        <v>38</v>
      </c>
    </row>
    <row r="126" spans="1:14" x14ac:dyDescent="0.3">
      <c r="A126" s="11" t="str">
        <f>Tb_Dados[[#This Row],[CÓD]]&amp;Tb_Dados[[#This Row],[PRODUTO]]&amp;Tb_Dados[[#This Row],[MEDIDA]]</f>
        <v>2768COLC SPRING FLEX1580X1980X250</v>
      </c>
      <c r="B126" s="12" t="s">
        <v>13</v>
      </c>
      <c r="C126" s="13">
        <v>2768</v>
      </c>
      <c r="D126" s="14" t="s">
        <v>167</v>
      </c>
      <c r="E126" s="13" t="s">
        <v>41</v>
      </c>
      <c r="F126" s="15">
        <v>508.68030252856875</v>
      </c>
      <c r="G126" s="16">
        <v>254.34015126428437</v>
      </c>
      <c r="H126" s="17">
        <f t="shared" si="5"/>
        <v>1.58</v>
      </c>
      <c r="I126" s="17">
        <f t="shared" si="6"/>
        <v>1.98</v>
      </c>
      <c r="J126" s="18">
        <f t="shared" si="7"/>
        <v>0.25</v>
      </c>
      <c r="K126" s="18">
        <f t="shared" si="4"/>
        <v>7.8209999999999997</v>
      </c>
      <c r="L126" s="14" t="s">
        <v>42</v>
      </c>
    </row>
    <row r="127" spans="1:14" x14ac:dyDescent="0.3">
      <c r="A127" s="11" t="str">
        <f>Tb_Dados[[#This Row],[CÓD]]&amp;Tb_Dados[[#This Row],[PRODUTO]]&amp;Tb_Dados[[#This Row],[MEDIDA]]</f>
        <v>11617COLC SPRING FLEX PLW880X1880X300</v>
      </c>
      <c r="B127" s="12" t="s">
        <v>13</v>
      </c>
      <c r="C127" s="13">
        <v>11617</v>
      </c>
      <c r="D127" s="14" t="s">
        <v>169</v>
      </c>
      <c r="E127" s="13" t="s">
        <v>47</v>
      </c>
      <c r="F127" s="15">
        <v>367.05270536373786</v>
      </c>
      <c r="G127" s="16">
        <v>183.52635268186893</v>
      </c>
      <c r="H127" s="17">
        <f t="shared" si="5"/>
        <v>0.88</v>
      </c>
      <c r="I127" s="17">
        <f t="shared" si="6"/>
        <v>1.88</v>
      </c>
      <c r="J127" s="18">
        <f t="shared" si="7"/>
        <v>0.3</v>
      </c>
      <c r="K127" s="18">
        <f t="shared" si="4"/>
        <v>4.9631999999999996</v>
      </c>
      <c r="L127" s="14" t="s">
        <v>48</v>
      </c>
    </row>
    <row r="128" spans="1:14" x14ac:dyDescent="0.3">
      <c r="A128" s="11" t="str">
        <f>Tb_Dados[[#This Row],[CÓD]]&amp;Tb_Dados[[#This Row],[PRODUTO]]&amp;Tb_Dados[[#This Row],[MEDIDA]]</f>
        <v>11617COLC SPRING FLEX PLW1280X1880X300</v>
      </c>
      <c r="B128" s="12" t="s">
        <v>13</v>
      </c>
      <c r="C128" s="13">
        <v>11617</v>
      </c>
      <c r="D128" s="14" t="s">
        <v>169</v>
      </c>
      <c r="E128" s="13" t="s">
        <v>50</v>
      </c>
      <c r="F128" s="15">
        <v>537.15054973584267</v>
      </c>
      <c r="G128" s="16">
        <v>268.57527486792134</v>
      </c>
      <c r="H128" s="17">
        <f t="shared" si="5"/>
        <v>1.28</v>
      </c>
      <c r="I128" s="17">
        <f t="shared" si="6"/>
        <v>1.88</v>
      </c>
      <c r="J128" s="18">
        <f t="shared" si="7"/>
        <v>0.3</v>
      </c>
      <c r="K128" s="18">
        <f t="shared" si="4"/>
        <v>7.2191999999999998</v>
      </c>
      <c r="L128" s="14" t="s">
        <v>51</v>
      </c>
    </row>
    <row r="129" spans="1:12" x14ac:dyDescent="0.3">
      <c r="A129" s="11" t="str">
        <f>Tb_Dados[[#This Row],[CÓD]]&amp;Tb_Dados[[#This Row],[PRODUTO]]&amp;Tb_Dados[[#This Row],[MEDIDA]]</f>
        <v>11617COLC SPRING FLEX PLW1380X1880X300</v>
      </c>
      <c r="B129" s="12" t="s">
        <v>13</v>
      </c>
      <c r="C129" s="13">
        <v>11617</v>
      </c>
      <c r="D129" s="14" t="s">
        <v>169</v>
      </c>
      <c r="E129" s="13" t="s">
        <v>53</v>
      </c>
      <c r="F129" s="15">
        <v>537.15054973584267</v>
      </c>
      <c r="G129" s="16">
        <v>268.57527486792134</v>
      </c>
      <c r="H129" s="17">
        <f t="shared" si="5"/>
        <v>1.38</v>
      </c>
      <c r="I129" s="17">
        <f t="shared" si="6"/>
        <v>1.88</v>
      </c>
      <c r="J129" s="18">
        <f t="shared" si="7"/>
        <v>0.3</v>
      </c>
      <c r="K129" s="18">
        <f t="shared" si="4"/>
        <v>7.783199999999999</v>
      </c>
      <c r="L129" s="14" t="s">
        <v>54</v>
      </c>
    </row>
    <row r="130" spans="1:12" x14ac:dyDescent="0.3">
      <c r="A130" s="11" t="str">
        <f>Tb_Dados[[#This Row],[CÓD]]&amp;Tb_Dados[[#This Row],[PRODUTO]]&amp;Tb_Dados[[#This Row],[MEDIDA]]</f>
        <v>11617COLC SPRING FLEX PLW1580X1980X300</v>
      </c>
      <c r="B130" s="12" t="s">
        <v>13</v>
      </c>
      <c r="C130" s="13">
        <v>11617</v>
      </c>
      <c r="D130" s="14" t="s">
        <v>169</v>
      </c>
      <c r="E130" s="13" t="s">
        <v>56</v>
      </c>
      <c r="F130" s="15">
        <v>631.85307875252647</v>
      </c>
      <c r="G130" s="16">
        <v>315.92653937626324</v>
      </c>
      <c r="H130" s="17">
        <f t="shared" si="5"/>
        <v>1.58</v>
      </c>
      <c r="I130" s="17">
        <f t="shared" si="6"/>
        <v>1.98</v>
      </c>
      <c r="J130" s="18">
        <f t="shared" si="7"/>
        <v>0.3</v>
      </c>
      <c r="K130" s="18">
        <f t="shared" si="4"/>
        <v>9.3852000000000011</v>
      </c>
      <c r="L130" s="14" t="s">
        <v>57</v>
      </c>
    </row>
    <row r="131" spans="1:12" x14ac:dyDescent="0.3">
      <c r="A131" s="11" t="str">
        <f>Tb_Dados[[#This Row],[CÓD]]&amp;Tb_Dados[[#This Row],[PRODUTO]]&amp;Tb_Dados[[#This Row],[MEDIDA]]</f>
        <v>5546BOX SPRING FLEX880X1880X250</v>
      </c>
      <c r="B131" s="12" t="s">
        <v>13</v>
      </c>
      <c r="C131" s="13">
        <v>5546</v>
      </c>
      <c r="D131" s="14" t="s">
        <v>129</v>
      </c>
      <c r="E131" s="13" t="s">
        <v>31</v>
      </c>
      <c r="F131" s="15">
        <v>173.79385848233727</v>
      </c>
      <c r="G131" s="16">
        <v>86.896929241168635</v>
      </c>
      <c r="H131" s="17">
        <f t="shared" si="5"/>
        <v>0.88</v>
      </c>
      <c r="I131" s="17">
        <f t="shared" si="6"/>
        <v>1.88</v>
      </c>
      <c r="J131" s="18">
        <f t="shared" si="7"/>
        <v>0.25</v>
      </c>
      <c r="K131" s="18">
        <f t="shared" si="4"/>
        <v>4.1359999999999992</v>
      </c>
      <c r="L131" s="14" t="s">
        <v>32</v>
      </c>
    </row>
    <row r="132" spans="1:12" x14ac:dyDescent="0.3">
      <c r="A132" s="11" t="str">
        <f>Tb_Dados[[#This Row],[CÓD]]&amp;Tb_Dados[[#This Row],[PRODUTO]]&amp;Tb_Dados[[#This Row],[MEDIDA]]</f>
        <v>5546BOX SPRING FLEX1280X1880X250</v>
      </c>
      <c r="B132" s="12" t="s">
        <v>13</v>
      </c>
      <c r="C132" s="13">
        <v>5546</v>
      </c>
      <c r="D132" s="14" t="s">
        <v>129</v>
      </c>
      <c r="E132" s="13" t="s">
        <v>34</v>
      </c>
      <c r="F132" s="15">
        <v>228.88257521342484</v>
      </c>
      <c r="G132" s="16">
        <v>114.44128760671242</v>
      </c>
      <c r="H132" s="17">
        <f t="shared" si="5"/>
        <v>1.28</v>
      </c>
      <c r="I132" s="17">
        <f t="shared" si="6"/>
        <v>1.88</v>
      </c>
      <c r="J132" s="18">
        <f t="shared" si="7"/>
        <v>0.25</v>
      </c>
      <c r="K132" s="18">
        <f t="shared" si="4"/>
        <v>6.016</v>
      </c>
      <c r="L132" s="14" t="s">
        <v>35</v>
      </c>
    </row>
    <row r="133" spans="1:12" x14ac:dyDescent="0.3">
      <c r="A133" s="11" t="str">
        <f>Tb_Dados[[#This Row],[CÓD]]&amp;Tb_Dados[[#This Row],[PRODUTO]]&amp;Tb_Dados[[#This Row],[MEDIDA]]</f>
        <v>5546BOX SPRING FLEX1380X1880X250</v>
      </c>
      <c r="B133" s="12" t="s">
        <v>13</v>
      </c>
      <c r="C133" s="13">
        <v>5546</v>
      </c>
      <c r="D133" s="14" t="s">
        <v>129</v>
      </c>
      <c r="E133" s="13" t="s">
        <v>37</v>
      </c>
      <c r="F133" s="15">
        <v>228.88257521342484</v>
      </c>
      <c r="G133" s="16">
        <v>114.44128760671242</v>
      </c>
      <c r="H133" s="17">
        <f t="shared" si="5"/>
        <v>1.38</v>
      </c>
      <c r="I133" s="17">
        <f t="shared" si="6"/>
        <v>1.88</v>
      </c>
      <c r="J133" s="18">
        <f t="shared" si="7"/>
        <v>0.25</v>
      </c>
      <c r="K133" s="18">
        <f t="shared" si="4"/>
        <v>6.4859999999999998</v>
      </c>
      <c r="L133" s="14" t="s">
        <v>38</v>
      </c>
    </row>
    <row r="134" spans="1:12" x14ac:dyDescent="0.3">
      <c r="A134" s="11" t="str">
        <f>Tb_Dados[[#This Row],[CÓD]]&amp;Tb_Dados[[#This Row],[PRODUTO]]&amp;Tb_Dados[[#This Row],[MEDIDA]]</f>
        <v>5547BOX BIPARTIDO SPRING FLEX1580X1980X250</v>
      </c>
      <c r="B134" s="12" t="s">
        <v>13</v>
      </c>
      <c r="C134" s="13">
        <v>5547</v>
      </c>
      <c r="D134" s="14" t="s">
        <v>75</v>
      </c>
      <c r="E134" s="13" t="s">
        <v>41</v>
      </c>
      <c r="F134" s="15">
        <v>345.71590602067454</v>
      </c>
      <c r="G134" s="16">
        <v>86.428976505168635</v>
      </c>
      <c r="H134" s="17">
        <f t="shared" si="5"/>
        <v>1.58</v>
      </c>
      <c r="I134" s="17">
        <f t="shared" si="6"/>
        <v>1.98</v>
      </c>
      <c r="J134" s="18">
        <f t="shared" si="7"/>
        <v>0.25</v>
      </c>
      <c r="K134" s="18">
        <f t="shared" ref="K134:K197" si="8">H134*I134*J134*10</f>
        <v>7.8209999999999997</v>
      </c>
      <c r="L134" s="14" t="s">
        <v>42</v>
      </c>
    </row>
    <row r="135" spans="1:12" x14ac:dyDescent="0.3">
      <c r="A135" s="11" t="str">
        <f>Tb_Dados[[#This Row],[CÓD]]&amp;Tb_Dados[[#This Row],[PRODUTO]]&amp;Tb_Dados[[#This Row],[MEDIDA]]</f>
        <v>5546BOX SPRING FLEX880X1880X300</v>
      </c>
      <c r="B135" s="12" t="s">
        <v>13</v>
      </c>
      <c r="C135" s="13">
        <v>5546</v>
      </c>
      <c r="D135" s="14" t="s">
        <v>129</v>
      </c>
      <c r="E135" s="13" t="s">
        <v>47</v>
      </c>
      <c r="F135" s="15">
        <v>181.00446541315532</v>
      </c>
      <c r="G135" s="16">
        <v>90.502232706577658</v>
      </c>
      <c r="H135" s="17">
        <f t="shared" ref="H135:H198" si="9">IF($E135="","",_xlfn.TEXTBEFORE($E135,"X")/1000)</f>
        <v>0.88</v>
      </c>
      <c r="I135" s="17">
        <f t="shared" ref="I135:I198" si="10">IF($E135="","",_xlfn.TEXTBEFORE(_xlfn.TEXTAFTER($E135,"X"),"X")/1000)</f>
        <v>1.88</v>
      </c>
      <c r="J135" s="18">
        <f t="shared" ref="J135:J198" si="11">IF($E135="","",_xlfn.TEXTAFTER($E135,"X",2)/1000)</f>
        <v>0.3</v>
      </c>
      <c r="K135" s="18">
        <f t="shared" si="8"/>
        <v>4.9631999999999996</v>
      </c>
      <c r="L135" s="14" t="s">
        <v>48</v>
      </c>
    </row>
    <row r="136" spans="1:12" x14ac:dyDescent="0.3">
      <c r="A136" s="11" t="str">
        <f>Tb_Dados[[#This Row],[CÓD]]&amp;Tb_Dados[[#This Row],[PRODUTO]]&amp;Tb_Dados[[#This Row],[MEDIDA]]</f>
        <v>5546BOX SPRING FLEX1280X1880X300</v>
      </c>
      <c r="B136" s="12" t="s">
        <v>13</v>
      </c>
      <c r="C136" s="13">
        <v>5546</v>
      </c>
      <c r="D136" s="14" t="s">
        <v>129</v>
      </c>
      <c r="E136" s="13" t="s">
        <v>50</v>
      </c>
      <c r="F136" s="15">
        <v>237.05893541046041</v>
      </c>
      <c r="G136" s="16">
        <v>118.5294677052302</v>
      </c>
      <c r="H136" s="17">
        <f t="shared" si="9"/>
        <v>1.28</v>
      </c>
      <c r="I136" s="17">
        <f t="shared" si="10"/>
        <v>1.88</v>
      </c>
      <c r="J136" s="18">
        <f t="shared" si="11"/>
        <v>0.3</v>
      </c>
      <c r="K136" s="18">
        <f t="shared" si="8"/>
        <v>7.2191999999999998</v>
      </c>
      <c r="L136" s="14" t="s">
        <v>51</v>
      </c>
    </row>
    <row r="137" spans="1:12" x14ac:dyDescent="0.3">
      <c r="A137" s="11" t="str">
        <f>Tb_Dados[[#This Row],[CÓD]]&amp;Tb_Dados[[#This Row],[PRODUTO]]&amp;Tb_Dados[[#This Row],[MEDIDA]]</f>
        <v>5546BOX SPRING FLEX1380X1880X300</v>
      </c>
      <c r="B137" s="12" t="s">
        <v>13</v>
      </c>
      <c r="C137" s="13">
        <v>5546</v>
      </c>
      <c r="D137" s="14" t="s">
        <v>129</v>
      </c>
      <c r="E137" s="13" t="s">
        <v>53</v>
      </c>
      <c r="F137" s="15">
        <v>237.05893541046041</v>
      </c>
      <c r="G137" s="16">
        <v>118.5294677052302</v>
      </c>
      <c r="H137" s="17">
        <f t="shared" si="9"/>
        <v>1.38</v>
      </c>
      <c r="I137" s="17">
        <f t="shared" si="10"/>
        <v>1.88</v>
      </c>
      <c r="J137" s="18">
        <f t="shared" si="11"/>
        <v>0.3</v>
      </c>
      <c r="K137" s="18">
        <f t="shared" si="8"/>
        <v>7.783199999999999</v>
      </c>
      <c r="L137" s="14" t="s">
        <v>54</v>
      </c>
    </row>
    <row r="138" spans="1:12" x14ac:dyDescent="0.3">
      <c r="A138" s="11" t="str">
        <f>Tb_Dados[[#This Row],[CÓD]]&amp;Tb_Dados[[#This Row],[PRODUTO]]&amp;Tb_Dados[[#This Row],[MEDIDA]]</f>
        <v>5547BOX BIPARTIDO SPRING FLEX1580X1980X300</v>
      </c>
      <c r="B138" s="12" t="s">
        <v>13</v>
      </c>
      <c r="C138" s="13">
        <v>5547</v>
      </c>
      <c r="D138" s="14" t="s">
        <v>75</v>
      </c>
      <c r="E138" s="13" t="s">
        <v>56</v>
      </c>
      <c r="F138" s="15">
        <v>360.13711988231069</v>
      </c>
      <c r="G138" s="16">
        <v>90.034279970577671</v>
      </c>
      <c r="H138" s="17">
        <f t="shared" si="9"/>
        <v>1.58</v>
      </c>
      <c r="I138" s="17">
        <f t="shared" si="10"/>
        <v>1.98</v>
      </c>
      <c r="J138" s="18">
        <f t="shared" si="11"/>
        <v>0.3</v>
      </c>
      <c r="K138" s="18">
        <f t="shared" si="8"/>
        <v>9.3852000000000011</v>
      </c>
      <c r="L138" s="14" t="s">
        <v>57</v>
      </c>
    </row>
    <row r="139" spans="1:12" x14ac:dyDescent="0.3">
      <c r="A139" s="11" t="str">
        <f>Tb_Dados[[#This Row],[CÓD]]&amp;Tb_Dados[[#This Row],[PRODUTO]]&amp;Tb_Dados[[#This Row],[MEDIDA]]</f>
        <v>2899BOX COM AUXÍLIO SPRING FLEX880X1880X300</v>
      </c>
      <c r="B139" s="12" t="s">
        <v>13</v>
      </c>
      <c r="C139" s="13">
        <v>2899</v>
      </c>
      <c r="D139" s="14" t="s">
        <v>96</v>
      </c>
      <c r="E139" s="13" t="s">
        <v>47</v>
      </c>
      <c r="F139" s="15">
        <v>426.01359990199734</v>
      </c>
      <c r="G139" s="16">
        <v>213.00679995099867</v>
      </c>
      <c r="H139" s="17">
        <f t="shared" si="9"/>
        <v>0.88</v>
      </c>
      <c r="I139" s="17">
        <f t="shared" si="10"/>
        <v>1.88</v>
      </c>
      <c r="J139" s="18">
        <f t="shared" si="11"/>
        <v>0.3</v>
      </c>
      <c r="K139" s="18">
        <f t="shared" si="8"/>
        <v>4.9631999999999996</v>
      </c>
      <c r="L139" s="22" t="s">
        <v>207</v>
      </c>
    </row>
    <row r="140" spans="1:12" x14ac:dyDescent="0.3">
      <c r="A140" s="11" t="str">
        <f>Tb_Dados[[#This Row],[CÓD]]&amp;Tb_Dados[[#This Row],[PRODUTO]]&amp;Tb_Dados[[#This Row],[MEDIDA]]</f>
        <v>12919BOX SPRING FLEX ECO880X1880X250</v>
      </c>
      <c r="B140" s="12" t="s">
        <v>13</v>
      </c>
      <c r="C140" s="13">
        <v>12919</v>
      </c>
      <c r="D140" s="14" t="s">
        <v>130</v>
      </c>
      <c r="E140" s="13" t="s">
        <v>31</v>
      </c>
      <c r="F140" s="15">
        <v>171.58854150824695</v>
      </c>
      <c r="G140" s="16">
        <v>85.794270754123474</v>
      </c>
      <c r="H140" s="17">
        <f t="shared" si="9"/>
        <v>0.88</v>
      </c>
      <c r="I140" s="17">
        <f t="shared" si="10"/>
        <v>1.88</v>
      </c>
      <c r="J140" s="18">
        <f t="shared" si="11"/>
        <v>0.25</v>
      </c>
      <c r="K140" s="18">
        <f t="shared" si="8"/>
        <v>4.1359999999999992</v>
      </c>
      <c r="L140" s="14" t="s">
        <v>32</v>
      </c>
    </row>
    <row r="141" spans="1:12" x14ac:dyDescent="0.3">
      <c r="A141" s="11" t="str">
        <f>Tb_Dados[[#This Row],[CÓD]]&amp;Tb_Dados[[#This Row],[PRODUTO]]&amp;Tb_Dados[[#This Row],[MEDIDA]]</f>
        <v>12919BOX SPRING FLEX ECO1280X1880X250</v>
      </c>
      <c r="B141" s="12" t="s">
        <v>13</v>
      </c>
      <c r="C141" s="13">
        <v>12919</v>
      </c>
      <c r="D141" s="14" t="s">
        <v>130</v>
      </c>
      <c r="E141" s="13" t="s">
        <v>34</v>
      </c>
      <c r="F141" s="15">
        <v>226.28345163681837</v>
      </c>
      <c r="G141" s="16">
        <v>113.14172581840918</v>
      </c>
      <c r="H141" s="17">
        <f t="shared" si="9"/>
        <v>1.28</v>
      </c>
      <c r="I141" s="17">
        <f t="shared" si="10"/>
        <v>1.88</v>
      </c>
      <c r="J141" s="18">
        <f t="shared" si="11"/>
        <v>0.25</v>
      </c>
      <c r="K141" s="18">
        <f t="shared" si="8"/>
        <v>6.016</v>
      </c>
      <c r="L141" s="14" t="s">
        <v>35</v>
      </c>
    </row>
    <row r="142" spans="1:12" x14ac:dyDescent="0.3">
      <c r="A142" s="11" t="str">
        <f>Tb_Dados[[#This Row],[CÓD]]&amp;Tb_Dados[[#This Row],[PRODUTO]]&amp;Tb_Dados[[#This Row],[MEDIDA]]</f>
        <v>12919BOX SPRING FLEX ECO1380X1880X250</v>
      </c>
      <c r="B142" s="12" t="s">
        <v>13</v>
      </c>
      <c r="C142" s="13">
        <v>12919</v>
      </c>
      <c r="D142" s="14" t="s">
        <v>130</v>
      </c>
      <c r="E142" s="13" t="s">
        <v>37</v>
      </c>
      <c r="F142" s="15">
        <v>226.28345163681837</v>
      </c>
      <c r="G142" s="16">
        <v>113.14172581840918</v>
      </c>
      <c r="H142" s="17">
        <f t="shared" si="9"/>
        <v>1.38</v>
      </c>
      <c r="I142" s="17">
        <f t="shared" si="10"/>
        <v>1.88</v>
      </c>
      <c r="J142" s="18">
        <f t="shared" si="11"/>
        <v>0.25</v>
      </c>
      <c r="K142" s="18">
        <f t="shared" si="8"/>
        <v>6.4859999999999998</v>
      </c>
      <c r="L142" s="14" t="s">
        <v>38</v>
      </c>
    </row>
    <row r="143" spans="1:12" x14ac:dyDescent="0.3">
      <c r="A143" s="11" t="str">
        <f>Tb_Dados[[#This Row],[CÓD]]&amp;Tb_Dados[[#This Row],[PRODUTO]]&amp;Tb_Dados[[#This Row],[MEDIDA]]</f>
        <v>12921BOX BIPARTIDO SPRING FLEX ECO1580X1980X250</v>
      </c>
      <c r="B143" s="12" t="s">
        <v>13</v>
      </c>
      <c r="C143" s="13">
        <v>12921</v>
      </c>
      <c r="D143" s="14" t="s">
        <v>76</v>
      </c>
      <c r="E143" s="13" t="s">
        <v>41</v>
      </c>
      <c r="F143" s="15">
        <v>341.30527207249389</v>
      </c>
      <c r="G143" s="16">
        <v>85.326318018123473</v>
      </c>
      <c r="H143" s="17">
        <f t="shared" si="9"/>
        <v>1.58</v>
      </c>
      <c r="I143" s="17">
        <f t="shared" si="10"/>
        <v>1.98</v>
      </c>
      <c r="J143" s="18">
        <f t="shared" si="11"/>
        <v>0.25</v>
      </c>
      <c r="K143" s="18">
        <f t="shared" si="8"/>
        <v>7.8209999999999997</v>
      </c>
      <c r="L143" s="14" t="s">
        <v>42</v>
      </c>
    </row>
    <row r="144" spans="1:12" x14ac:dyDescent="0.3">
      <c r="A144" s="11" t="str">
        <f>Tb_Dados[[#This Row],[CÓD]]&amp;Tb_Dados[[#This Row],[PRODUTO]]&amp;Tb_Dados[[#This Row],[MEDIDA]]</f>
        <v>12921BOX BIPARTIDO SPRING FLEX ECO1930X2030X250</v>
      </c>
      <c r="B144" s="12" t="s">
        <v>13</v>
      </c>
      <c r="C144" s="13">
        <v>12921</v>
      </c>
      <c r="D144" s="14" t="s">
        <v>76</v>
      </c>
      <c r="E144" s="13" t="s">
        <v>44</v>
      </c>
      <c r="F144" s="15">
        <v>386.62212871249386</v>
      </c>
      <c r="G144" s="16">
        <v>96.655532178123465</v>
      </c>
      <c r="H144" s="17">
        <f t="shared" si="9"/>
        <v>1.93</v>
      </c>
      <c r="I144" s="17">
        <f t="shared" si="10"/>
        <v>2.0299999999999998</v>
      </c>
      <c r="J144" s="18">
        <f t="shared" si="11"/>
        <v>0.25</v>
      </c>
      <c r="K144" s="18">
        <f t="shared" si="8"/>
        <v>9.7947499999999987</v>
      </c>
      <c r="L144" s="14" t="s">
        <v>45</v>
      </c>
    </row>
    <row r="145" spans="1:12" x14ac:dyDescent="0.3">
      <c r="A145" s="11" t="str">
        <f>Tb_Dados[[#This Row],[CÓD]]&amp;Tb_Dados[[#This Row],[PRODUTO]]&amp;Tb_Dados[[#This Row],[MEDIDA]]</f>
        <v>12919BOX SPRING FLEX ECO880X1880X300</v>
      </c>
      <c r="B145" s="12" t="s">
        <v>13</v>
      </c>
      <c r="C145" s="13">
        <v>12919</v>
      </c>
      <c r="D145" s="14" t="s">
        <v>130</v>
      </c>
      <c r="E145" s="13" t="s">
        <v>47</v>
      </c>
      <c r="F145" s="15">
        <v>178.73585806824693</v>
      </c>
      <c r="G145" s="16">
        <v>89.367929034123463</v>
      </c>
      <c r="H145" s="17">
        <f t="shared" si="9"/>
        <v>0.88</v>
      </c>
      <c r="I145" s="17">
        <f t="shared" si="10"/>
        <v>1.88</v>
      </c>
      <c r="J145" s="18">
        <f t="shared" si="11"/>
        <v>0.3</v>
      </c>
      <c r="K145" s="18">
        <f t="shared" si="8"/>
        <v>4.9631999999999996</v>
      </c>
      <c r="L145" s="14" t="s">
        <v>48</v>
      </c>
    </row>
    <row r="146" spans="1:12" x14ac:dyDescent="0.3">
      <c r="A146" s="11" t="str">
        <f>Tb_Dados[[#This Row],[CÓD]]&amp;Tb_Dados[[#This Row],[PRODUTO]]&amp;Tb_Dados[[#This Row],[MEDIDA]]</f>
        <v>12919BOX SPRING FLEX ECO1280X1880X300</v>
      </c>
      <c r="B146" s="12" t="s">
        <v>13</v>
      </c>
      <c r="C146" s="13">
        <v>12919</v>
      </c>
      <c r="D146" s="14" t="s">
        <v>130</v>
      </c>
      <c r="E146" s="13" t="s">
        <v>50</v>
      </c>
      <c r="F146" s="15">
        <v>233.8943838968184</v>
      </c>
      <c r="G146" s="16">
        <v>116.9471919484092</v>
      </c>
      <c r="H146" s="17">
        <f t="shared" si="9"/>
        <v>1.28</v>
      </c>
      <c r="I146" s="17">
        <f t="shared" si="10"/>
        <v>1.88</v>
      </c>
      <c r="J146" s="18">
        <f t="shared" si="11"/>
        <v>0.3</v>
      </c>
      <c r="K146" s="18">
        <f t="shared" si="8"/>
        <v>7.2191999999999998</v>
      </c>
      <c r="L146" s="14" t="s">
        <v>51</v>
      </c>
    </row>
    <row r="147" spans="1:12" x14ac:dyDescent="0.3">
      <c r="A147" s="11" t="str">
        <f>Tb_Dados[[#This Row],[CÓD]]&amp;Tb_Dados[[#This Row],[PRODUTO]]&amp;Tb_Dados[[#This Row],[MEDIDA]]</f>
        <v>12919BOX SPRING FLEX ECO1380X1880X300</v>
      </c>
      <c r="B147" s="12" t="s">
        <v>13</v>
      </c>
      <c r="C147" s="13">
        <v>12919</v>
      </c>
      <c r="D147" s="14" t="s">
        <v>130</v>
      </c>
      <c r="E147" s="13" t="s">
        <v>53</v>
      </c>
      <c r="F147" s="15">
        <v>233.8943838968184</v>
      </c>
      <c r="G147" s="16">
        <v>116.9471919484092</v>
      </c>
      <c r="H147" s="17">
        <f t="shared" si="9"/>
        <v>1.38</v>
      </c>
      <c r="I147" s="17">
        <f t="shared" si="10"/>
        <v>1.88</v>
      </c>
      <c r="J147" s="18">
        <f t="shared" si="11"/>
        <v>0.3</v>
      </c>
      <c r="K147" s="18">
        <f t="shared" si="8"/>
        <v>7.783199999999999</v>
      </c>
      <c r="L147" s="14" t="s">
        <v>54</v>
      </c>
    </row>
    <row r="148" spans="1:12" x14ac:dyDescent="0.3">
      <c r="A148" s="11" t="str">
        <f>Tb_Dados[[#This Row],[CÓD]]&amp;Tb_Dados[[#This Row],[PRODUTO]]&amp;Tb_Dados[[#This Row],[MEDIDA]]</f>
        <v>12921BOX BIPARTIDO SPRING FLEX ECO1580X1980X300</v>
      </c>
      <c r="B148" s="12" t="s">
        <v>13</v>
      </c>
      <c r="C148" s="13">
        <v>12921</v>
      </c>
      <c r="D148" s="14" t="s">
        <v>76</v>
      </c>
      <c r="E148" s="13" t="s">
        <v>56</v>
      </c>
      <c r="F148" s="15">
        <v>355.94750519249385</v>
      </c>
      <c r="G148" s="16">
        <v>88.986876298123462</v>
      </c>
      <c r="H148" s="17">
        <f t="shared" si="9"/>
        <v>1.58</v>
      </c>
      <c r="I148" s="17">
        <f t="shared" si="10"/>
        <v>1.98</v>
      </c>
      <c r="J148" s="18">
        <f t="shared" si="11"/>
        <v>0.3</v>
      </c>
      <c r="K148" s="18">
        <f t="shared" si="8"/>
        <v>9.3852000000000011</v>
      </c>
      <c r="L148" s="14" t="s">
        <v>57</v>
      </c>
    </row>
    <row r="149" spans="1:12" x14ac:dyDescent="0.3">
      <c r="A149" s="11" t="str">
        <f>Tb_Dados[[#This Row],[CÓD]]&amp;Tb_Dados[[#This Row],[PRODUTO]]&amp;Tb_Dados[[#This Row],[MEDIDA]]</f>
        <v>12921BOX BIPARTIDO SPRING FLEX ECO1930X2030X300</v>
      </c>
      <c r="B149" s="12" t="s">
        <v>13</v>
      </c>
      <c r="C149" s="13">
        <v>12921</v>
      </c>
      <c r="D149" s="14" t="s">
        <v>76</v>
      </c>
      <c r="E149" s="13" t="s">
        <v>58</v>
      </c>
      <c r="F149" s="15">
        <v>398.4397618324939</v>
      </c>
      <c r="G149" s="16">
        <v>99.609940458123475</v>
      </c>
      <c r="H149" s="17">
        <f t="shared" si="9"/>
        <v>1.93</v>
      </c>
      <c r="I149" s="17">
        <f t="shared" si="10"/>
        <v>2.0299999999999998</v>
      </c>
      <c r="J149" s="18">
        <f t="shared" si="11"/>
        <v>0.3</v>
      </c>
      <c r="K149" s="18">
        <f t="shared" si="8"/>
        <v>11.753699999999998</v>
      </c>
      <c r="L149" s="14" t="s">
        <v>59</v>
      </c>
    </row>
    <row r="150" spans="1:12" x14ac:dyDescent="0.3">
      <c r="A150" s="11" t="str">
        <f>Tb_Dados[[#This Row],[CÓD]]&amp;Tb_Dados[[#This Row],[PRODUTO]]&amp;Tb_Dados[[#This Row],[MEDIDA]]</f>
        <v>2744COLC MAXFIRM880X1880X200</v>
      </c>
      <c r="B150" s="12" t="s">
        <v>13</v>
      </c>
      <c r="C150" s="13">
        <v>2744</v>
      </c>
      <c r="D150" s="14" t="s">
        <v>159</v>
      </c>
      <c r="E150" s="13" t="s">
        <v>208</v>
      </c>
      <c r="F150" s="15">
        <v>419.45615123665658</v>
      </c>
      <c r="G150" s="16">
        <v>209.72807561832829</v>
      </c>
      <c r="H150" s="17">
        <f t="shared" si="9"/>
        <v>0.88</v>
      </c>
      <c r="I150" s="17">
        <f t="shared" si="10"/>
        <v>1.88</v>
      </c>
      <c r="J150" s="18">
        <f t="shared" si="11"/>
        <v>0.2</v>
      </c>
      <c r="K150" s="18">
        <f t="shared" si="8"/>
        <v>3.3088000000000002</v>
      </c>
      <c r="L150" s="14" t="s">
        <v>209</v>
      </c>
    </row>
    <row r="151" spans="1:12" x14ac:dyDescent="0.3">
      <c r="A151" s="11" t="str">
        <f>Tb_Dados[[#This Row],[CÓD]]&amp;Tb_Dados[[#This Row],[PRODUTO]]&amp;Tb_Dados[[#This Row],[MEDIDA]]</f>
        <v>2744COLC MAXFIRM1000X2000X200</v>
      </c>
      <c r="B151" s="12" t="s">
        <v>13</v>
      </c>
      <c r="C151" s="13">
        <v>2744</v>
      </c>
      <c r="D151" s="14" t="s">
        <v>159</v>
      </c>
      <c r="E151" s="13" t="s">
        <v>210</v>
      </c>
      <c r="F151" s="15">
        <v>499.87122055774796</v>
      </c>
      <c r="G151" s="16">
        <v>249.93561027887398</v>
      </c>
      <c r="H151" s="17">
        <f t="shared" si="9"/>
        <v>1</v>
      </c>
      <c r="I151" s="17">
        <f t="shared" si="10"/>
        <v>2</v>
      </c>
      <c r="J151" s="18">
        <f t="shared" si="11"/>
        <v>0.2</v>
      </c>
      <c r="K151" s="18">
        <f t="shared" si="8"/>
        <v>4</v>
      </c>
      <c r="L151" s="14" t="s">
        <v>211</v>
      </c>
    </row>
    <row r="152" spans="1:12" x14ac:dyDescent="0.3">
      <c r="A152" s="11" t="str">
        <f>Tb_Dados[[#This Row],[CÓD]]&amp;Tb_Dados[[#This Row],[PRODUTO]]&amp;Tb_Dados[[#This Row],[MEDIDA]]</f>
        <v>2744COLC MAXFIRM1280X1880X200</v>
      </c>
      <c r="B152" s="12" t="s">
        <v>13</v>
      </c>
      <c r="C152" s="13">
        <v>2744</v>
      </c>
      <c r="D152" s="14" t="s">
        <v>159</v>
      </c>
      <c r="E152" s="13" t="s">
        <v>212</v>
      </c>
      <c r="F152" s="15">
        <v>624.85716042629588</v>
      </c>
      <c r="G152" s="16">
        <v>312.42858021314794</v>
      </c>
      <c r="H152" s="17">
        <f t="shared" si="9"/>
        <v>1.28</v>
      </c>
      <c r="I152" s="17">
        <f t="shared" si="10"/>
        <v>1.88</v>
      </c>
      <c r="J152" s="18">
        <f t="shared" si="11"/>
        <v>0.2</v>
      </c>
      <c r="K152" s="18">
        <f t="shared" si="8"/>
        <v>4.8128000000000002</v>
      </c>
      <c r="L152" s="14" t="s">
        <v>213</v>
      </c>
    </row>
    <row r="153" spans="1:12" x14ac:dyDescent="0.3">
      <c r="A153" s="11" t="str">
        <f>Tb_Dados[[#This Row],[CÓD]]&amp;Tb_Dados[[#This Row],[PRODUTO]]&amp;Tb_Dados[[#This Row],[MEDIDA]]</f>
        <v>2744COLC MAXFIRM1380X1880X200</v>
      </c>
      <c r="B153" s="12" t="s">
        <v>13</v>
      </c>
      <c r="C153" s="13">
        <v>2744</v>
      </c>
      <c r="D153" s="14" t="s">
        <v>159</v>
      </c>
      <c r="E153" s="13" t="s">
        <v>214</v>
      </c>
      <c r="F153" s="15">
        <v>624.85716042629588</v>
      </c>
      <c r="G153" s="16">
        <v>312.42858021314794</v>
      </c>
      <c r="H153" s="17">
        <f t="shared" si="9"/>
        <v>1.38</v>
      </c>
      <c r="I153" s="17">
        <f t="shared" si="10"/>
        <v>1.88</v>
      </c>
      <c r="J153" s="18">
        <f t="shared" si="11"/>
        <v>0.2</v>
      </c>
      <c r="K153" s="18">
        <f t="shared" si="8"/>
        <v>5.1888000000000005</v>
      </c>
      <c r="L153" s="14" t="s">
        <v>215</v>
      </c>
    </row>
    <row r="154" spans="1:12" x14ac:dyDescent="0.3">
      <c r="A154" s="11" t="str">
        <f>Tb_Dados[[#This Row],[CÓD]]&amp;Tb_Dados[[#This Row],[PRODUTO]]&amp;Tb_Dados[[#This Row],[MEDIDA]]</f>
        <v>2744COLC MAXFIRM1580X1980X200</v>
      </c>
      <c r="B154" s="12" t="s">
        <v>13</v>
      </c>
      <c r="C154" s="13">
        <v>2744</v>
      </c>
      <c r="D154" s="14" t="s">
        <v>159</v>
      </c>
      <c r="E154" s="13" t="s">
        <v>216</v>
      </c>
      <c r="F154" s="15">
        <v>716.33376574626823</v>
      </c>
      <c r="G154" s="16">
        <v>358.16688287313411</v>
      </c>
      <c r="H154" s="17">
        <f t="shared" si="9"/>
        <v>1.58</v>
      </c>
      <c r="I154" s="17">
        <f t="shared" si="10"/>
        <v>1.98</v>
      </c>
      <c r="J154" s="18">
        <f t="shared" si="11"/>
        <v>0.2</v>
      </c>
      <c r="K154" s="18">
        <f t="shared" si="8"/>
        <v>6.2568000000000001</v>
      </c>
      <c r="L154" s="14" t="s">
        <v>217</v>
      </c>
    </row>
    <row r="155" spans="1:12" x14ac:dyDescent="0.3">
      <c r="A155" s="11" t="str">
        <f>Tb_Dados[[#This Row],[CÓD]]&amp;Tb_Dados[[#This Row],[PRODUTO]]&amp;Tb_Dados[[#This Row],[MEDIDA]]</f>
        <v>2744COLC MAXFIRM1930X2030X200</v>
      </c>
      <c r="B155" s="12" t="s">
        <v>13</v>
      </c>
      <c r="C155" s="13">
        <v>2744</v>
      </c>
      <c r="D155" s="14" t="s">
        <v>159</v>
      </c>
      <c r="E155" s="13" t="s">
        <v>218</v>
      </c>
      <c r="F155" s="15">
        <v>892.45837331764778</v>
      </c>
      <c r="G155" s="16">
        <v>446.22918665882389</v>
      </c>
      <c r="H155" s="17">
        <f t="shared" si="9"/>
        <v>1.93</v>
      </c>
      <c r="I155" s="17">
        <f t="shared" si="10"/>
        <v>2.0299999999999998</v>
      </c>
      <c r="J155" s="18">
        <f t="shared" si="11"/>
        <v>0.2</v>
      </c>
      <c r="K155" s="18">
        <f t="shared" si="8"/>
        <v>7.835799999999999</v>
      </c>
      <c r="L155" s="14" t="s">
        <v>219</v>
      </c>
    </row>
    <row r="156" spans="1:12" x14ac:dyDescent="0.3">
      <c r="A156" s="11" t="str">
        <f>Tb_Dados[[#This Row],[CÓD]]&amp;Tb_Dados[[#This Row],[PRODUTO]]&amp;Tb_Dados[[#This Row],[MEDIDA]]</f>
        <v>2744COLC MAXFIRM880X1880X240</v>
      </c>
      <c r="B156" s="12" t="s">
        <v>13</v>
      </c>
      <c r="C156" s="13">
        <v>2744</v>
      </c>
      <c r="D156" s="14" t="s">
        <v>159</v>
      </c>
      <c r="E156" s="13" t="s">
        <v>220</v>
      </c>
      <c r="F156" s="15">
        <v>473.21239315818377</v>
      </c>
      <c r="G156" s="16">
        <v>236.60619657909189</v>
      </c>
      <c r="H156" s="17">
        <f t="shared" si="9"/>
        <v>0.88</v>
      </c>
      <c r="I156" s="17">
        <f t="shared" si="10"/>
        <v>1.88</v>
      </c>
      <c r="J156" s="18">
        <f t="shared" si="11"/>
        <v>0.24</v>
      </c>
      <c r="K156" s="18">
        <f t="shared" si="8"/>
        <v>3.9705599999999999</v>
      </c>
      <c r="L156" s="14" t="s">
        <v>221</v>
      </c>
    </row>
    <row r="157" spans="1:12" x14ac:dyDescent="0.3">
      <c r="A157" s="11" t="str">
        <f>Tb_Dados[[#This Row],[CÓD]]&amp;Tb_Dados[[#This Row],[PRODUTO]]&amp;Tb_Dados[[#This Row],[MEDIDA]]</f>
        <v>2744COLC MAXFIRM1000X2000X240</v>
      </c>
      <c r="B157" s="12" t="s">
        <v>13</v>
      </c>
      <c r="C157" s="13">
        <v>2744</v>
      </c>
      <c r="D157" s="14" t="s">
        <v>159</v>
      </c>
      <c r="E157" s="13" t="s">
        <v>222</v>
      </c>
      <c r="F157" s="15">
        <v>564.46147437831416</v>
      </c>
      <c r="G157" s="16">
        <v>282.23073718915708</v>
      </c>
      <c r="H157" s="17">
        <f t="shared" si="9"/>
        <v>1</v>
      </c>
      <c r="I157" s="17">
        <f t="shared" si="10"/>
        <v>2</v>
      </c>
      <c r="J157" s="18">
        <f t="shared" si="11"/>
        <v>0.24</v>
      </c>
      <c r="K157" s="18">
        <f t="shared" si="8"/>
        <v>4.8</v>
      </c>
      <c r="L157" s="14" t="s">
        <v>223</v>
      </c>
    </row>
    <row r="158" spans="1:12" x14ac:dyDescent="0.3">
      <c r="A158" s="11" t="str">
        <f>Tb_Dados[[#This Row],[CÓD]]&amp;Tb_Dados[[#This Row],[PRODUTO]]&amp;Tb_Dados[[#This Row],[MEDIDA]]</f>
        <v>2744COLC MAXFIRM1280X1880X240</v>
      </c>
      <c r="B158" s="12" t="s">
        <v>13</v>
      </c>
      <c r="C158" s="13">
        <v>2744</v>
      </c>
      <c r="D158" s="14" t="s">
        <v>159</v>
      </c>
      <c r="E158" s="13" t="s">
        <v>224</v>
      </c>
      <c r="F158" s="15">
        <v>708.08847089444816</v>
      </c>
      <c r="G158" s="16">
        <v>354.04423544722408</v>
      </c>
      <c r="H158" s="17">
        <f t="shared" si="9"/>
        <v>1.28</v>
      </c>
      <c r="I158" s="17">
        <f t="shared" si="10"/>
        <v>1.88</v>
      </c>
      <c r="J158" s="18">
        <f t="shared" si="11"/>
        <v>0.24</v>
      </c>
      <c r="K158" s="18">
        <f t="shared" si="8"/>
        <v>5.7753600000000009</v>
      </c>
      <c r="L158" s="14" t="s">
        <v>225</v>
      </c>
    </row>
    <row r="159" spans="1:12" x14ac:dyDescent="0.3">
      <c r="A159" s="11" t="str">
        <f>Tb_Dados[[#This Row],[CÓD]]&amp;Tb_Dados[[#This Row],[PRODUTO]]&amp;Tb_Dados[[#This Row],[MEDIDA]]</f>
        <v>2744COLC MAXFIRM1380X1880X240</v>
      </c>
      <c r="B159" s="12" t="s">
        <v>13</v>
      </c>
      <c r="C159" s="13">
        <v>2744</v>
      </c>
      <c r="D159" s="14" t="s">
        <v>159</v>
      </c>
      <c r="E159" s="13" t="s">
        <v>226</v>
      </c>
      <c r="F159" s="15">
        <v>708.08847089444816</v>
      </c>
      <c r="G159" s="16">
        <v>354.04423544722408</v>
      </c>
      <c r="H159" s="17">
        <f t="shared" si="9"/>
        <v>1.38</v>
      </c>
      <c r="I159" s="17">
        <f t="shared" si="10"/>
        <v>1.88</v>
      </c>
      <c r="J159" s="18">
        <f t="shared" si="11"/>
        <v>0.24</v>
      </c>
      <c r="K159" s="18">
        <f t="shared" si="8"/>
        <v>6.2265600000000001</v>
      </c>
      <c r="L159" s="14" t="s">
        <v>227</v>
      </c>
    </row>
    <row r="160" spans="1:12" x14ac:dyDescent="0.3">
      <c r="A160" s="11" t="str">
        <f>Tb_Dados[[#This Row],[CÓD]]&amp;Tb_Dados[[#This Row],[PRODUTO]]&amp;Tb_Dados[[#This Row],[MEDIDA]]</f>
        <v>2744COLC MAXFIRM1580X1980X240</v>
      </c>
      <c r="B160" s="12" t="s">
        <v>13</v>
      </c>
      <c r="C160" s="13">
        <v>2744</v>
      </c>
      <c r="D160" s="14" t="s">
        <v>159</v>
      </c>
      <c r="E160" s="13" t="s">
        <v>228</v>
      </c>
      <c r="F160" s="15">
        <v>816.31893339472231</v>
      </c>
      <c r="G160" s="16">
        <v>408.15946669736115</v>
      </c>
      <c r="H160" s="17">
        <f t="shared" si="9"/>
        <v>1.58</v>
      </c>
      <c r="I160" s="17">
        <f t="shared" si="10"/>
        <v>1.98</v>
      </c>
      <c r="J160" s="18">
        <f t="shared" si="11"/>
        <v>0.24</v>
      </c>
      <c r="K160" s="18">
        <f t="shared" si="8"/>
        <v>7.5081600000000002</v>
      </c>
      <c r="L160" s="14" t="s">
        <v>229</v>
      </c>
    </row>
    <row r="161" spans="1:12" x14ac:dyDescent="0.3">
      <c r="A161" s="11" t="str">
        <f>Tb_Dados[[#This Row],[CÓD]]&amp;Tb_Dados[[#This Row],[PRODUTO]]&amp;Tb_Dados[[#This Row],[MEDIDA]]</f>
        <v>2744COLC MAXFIRM1930X2030X240</v>
      </c>
      <c r="B161" s="12" t="s">
        <v>13</v>
      </c>
      <c r="C161" s="13">
        <v>2744</v>
      </c>
      <c r="D161" s="14" t="s">
        <v>159</v>
      </c>
      <c r="E161" s="13" t="s">
        <v>230</v>
      </c>
      <c r="F161" s="15">
        <v>1017.1875757379933</v>
      </c>
      <c r="G161" s="16">
        <v>508.59378786899663</v>
      </c>
      <c r="H161" s="17">
        <f t="shared" si="9"/>
        <v>1.93</v>
      </c>
      <c r="I161" s="17">
        <f t="shared" si="10"/>
        <v>2.0299999999999998</v>
      </c>
      <c r="J161" s="18">
        <f t="shared" si="11"/>
        <v>0.24</v>
      </c>
      <c r="K161" s="18">
        <f t="shared" si="8"/>
        <v>9.4029599999999984</v>
      </c>
      <c r="L161" s="14" t="s">
        <v>231</v>
      </c>
    </row>
    <row r="162" spans="1:12" x14ac:dyDescent="0.3">
      <c r="A162" s="11" t="str">
        <f>Tb_Dados[[#This Row],[CÓD]]&amp;Tb_Dados[[#This Row],[PRODUTO]]&amp;Tb_Dados[[#This Row],[MEDIDA]]</f>
        <v>5394BOX MAXFIRM880X1880X250</v>
      </c>
      <c r="B162" s="12" t="s">
        <v>13</v>
      </c>
      <c r="C162" s="13">
        <v>5394</v>
      </c>
      <c r="D162" s="14" t="s">
        <v>116</v>
      </c>
      <c r="E162" s="13" t="s">
        <v>31</v>
      </c>
      <c r="F162" s="15">
        <v>175.0627312459433</v>
      </c>
      <c r="G162" s="16">
        <v>87.531365622971649</v>
      </c>
      <c r="H162" s="17">
        <f t="shared" si="9"/>
        <v>0.88</v>
      </c>
      <c r="I162" s="17">
        <f t="shared" si="10"/>
        <v>1.88</v>
      </c>
      <c r="J162" s="18">
        <f t="shared" si="11"/>
        <v>0.25</v>
      </c>
      <c r="K162" s="18">
        <f t="shared" si="8"/>
        <v>4.1359999999999992</v>
      </c>
      <c r="L162" s="14" t="s">
        <v>32</v>
      </c>
    </row>
    <row r="163" spans="1:12" x14ac:dyDescent="0.3">
      <c r="A163" s="11" t="str">
        <f>Tb_Dados[[#This Row],[CÓD]]&amp;Tb_Dados[[#This Row],[PRODUTO]]&amp;Tb_Dados[[#This Row],[MEDIDA]]</f>
        <v>5394BOX MAXFIRM1000X2000X250</v>
      </c>
      <c r="B163" s="12" t="s">
        <v>13</v>
      </c>
      <c r="C163" s="13">
        <v>5394</v>
      </c>
      <c r="D163" s="14" t="s">
        <v>116</v>
      </c>
      <c r="E163" s="13" t="s">
        <v>232</v>
      </c>
      <c r="F163" s="15">
        <v>200.10025820320735</v>
      </c>
      <c r="G163" s="16">
        <v>100.05012910160367</v>
      </c>
      <c r="H163" s="17">
        <f t="shared" si="9"/>
        <v>1</v>
      </c>
      <c r="I163" s="17">
        <f t="shared" si="10"/>
        <v>2</v>
      </c>
      <c r="J163" s="18">
        <f t="shared" si="11"/>
        <v>0.25</v>
      </c>
      <c r="K163" s="18">
        <f t="shared" si="8"/>
        <v>5</v>
      </c>
      <c r="L163" s="14" t="s">
        <v>233</v>
      </c>
    </row>
    <row r="164" spans="1:12" x14ac:dyDescent="0.3">
      <c r="A164" s="11" t="str">
        <f>Tb_Dados[[#This Row],[CÓD]]&amp;Tb_Dados[[#This Row],[PRODUTO]]&amp;Tb_Dados[[#This Row],[MEDIDA]]</f>
        <v>5394BOX MAXFIRM1280X1880X250</v>
      </c>
      <c r="B164" s="12" t="s">
        <v>13</v>
      </c>
      <c r="C164" s="13">
        <v>5394</v>
      </c>
      <c r="D164" s="14" t="s">
        <v>116</v>
      </c>
      <c r="E164" s="13" t="s">
        <v>34</v>
      </c>
      <c r="F164" s="15">
        <v>230.37803239910338</v>
      </c>
      <c r="G164" s="16">
        <v>115.18901619955169</v>
      </c>
      <c r="H164" s="17">
        <f t="shared" si="9"/>
        <v>1.28</v>
      </c>
      <c r="I164" s="17">
        <f t="shared" si="10"/>
        <v>1.88</v>
      </c>
      <c r="J164" s="18">
        <f t="shared" si="11"/>
        <v>0.25</v>
      </c>
      <c r="K164" s="18">
        <f t="shared" si="8"/>
        <v>6.016</v>
      </c>
      <c r="L164" s="14" t="s">
        <v>35</v>
      </c>
    </row>
    <row r="165" spans="1:12" x14ac:dyDescent="0.3">
      <c r="A165" s="11" t="str">
        <f>Tb_Dados[[#This Row],[CÓD]]&amp;Tb_Dados[[#This Row],[PRODUTO]]&amp;Tb_Dados[[#This Row],[MEDIDA]]</f>
        <v>5394BOX MAXFIRM1380X1880X250</v>
      </c>
      <c r="B165" s="12" t="s">
        <v>13</v>
      </c>
      <c r="C165" s="13">
        <v>5394</v>
      </c>
      <c r="D165" s="14" t="s">
        <v>116</v>
      </c>
      <c r="E165" s="13" t="s">
        <v>37</v>
      </c>
      <c r="F165" s="15">
        <v>230.37803239910338</v>
      </c>
      <c r="G165" s="16">
        <v>115.18901619955169</v>
      </c>
      <c r="H165" s="17">
        <f t="shared" si="9"/>
        <v>1.38</v>
      </c>
      <c r="I165" s="17">
        <f t="shared" si="10"/>
        <v>1.88</v>
      </c>
      <c r="J165" s="18">
        <f t="shared" si="11"/>
        <v>0.25</v>
      </c>
      <c r="K165" s="18">
        <f t="shared" si="8"/>
        <v>6.4859999999999998</v>
      </c>
      <c r="L165" s="14" t="s">
        <v>38</v>
      </c>
    </row>
    <row r="166" spans="1:12" x14ac:dyDescent="0.3">
      <c r="A166" s="11" t="str">
        <f>Tb_Dados[[#This Row],[CÓD]]&amp;Tb_Dados[[#This Row],[PRODUTO]]&amp;Tb_Dados[[#This Row],[MEDIDA]]</f>
        <v>5397BOX BIPARTIDO MAXFIRM1580X1980X250</v>
      </c>
      <c r="B166" s="12" t="s">
        <v>13</v>
      </c>
      <c r="C166" s="13">
        <v>5397</v>
      </c>
      <c r="D166" s="14" t="s">
        <v>60</v>
      </c>
      <c r="E166" s="13" t="s">
        <v>41</v>
      </c>
      <c r="F166" s="15">
        <v>348.25365154788659</v>
      </c>
      <c r="G166" s="16">
        <v>87.063412886971648</v>
      </c>
      <c r="H166" s="17">
        <f t="shared" si="9"/>
        <v>1.58</v>
      </c>
      <c r="I166" s="17">
        <f t="shared" si="10"/>
        <v>1.98</v>
      </c>
      <c r="J166" s="18">
        <f t="shared" si="11"/>
        <v>0.25</v>
      </c>
      <c r="K166" s="18">
        <f t="shared" si="8"/>
        <v>7.8209999999999997</v>
      </c>
      <c r="L166" s="14" t="s">
        <v>42</v>
      </c>
    </row>
    <row r="167" spans="1:12" x14ac:dyDescent="0.3">
      <c r="A167" s="11" t="str">
        <f>Tb_Dados[[#This Row],[CÓD]]&amp;Tb_Dados[[#This Row],[PRODUTO]]&amp;Tb_Dados[[#This Row],[MEDIDA]]</f>
        <v>5397BOX BIPARTIDO MAXFIRM1930X2030X250</v>
      </c>
      <c r="B167" s="12" t="s">
        <v>13</v>
      </c>
      <c r="C167" s="13">
        <v>5397</v>
      </c>
      <c r="D167" s="14" t="s">
        <v>60</v>
      </c>
      <c r="E167" s="13" t="s">
        <v>44</v>
      </c>
      <c r="F167" s="15">
        <v>401.64278879041461</v>
      </c>
      <c r="G167" s="16">
        <v>100.41069719760365</v>
      </c>
      <c r="H167" s="17">
        <f t="shared" si="9"/>
        <v>1.93</v>
      </c>
      <c r="I167" s="17">
        <f t="shared" si="10"/>
        <v>2.0299999999999998</v>
      </c>
      <c r="J167" s="18">
        <f t="shared" si="11"/>
        <v>0.25</v>
      </c>
      <c r="K167" s="18">
        <f t="shared" si="8"/>
        <v>9.7947499999999987</v>
      </c>
      <c r="L167" s="14" t="s">
        <v>45</v>
      </c>
    </row>
    <row r="168" spans="1:12" x14ac:dyDescent="0.3">
      <c r="A168" s="11" t="str">
        <f>Tb_Dados[[#This Row],[CÓD]]&amp;Tb_Dados[[#This Row],[PRODUTO]]&amp;Tb_Dados[[#This Row],[MEDIDA]]</f>
        <v>5394BOX MAXFIRM880X1880X300</v>
      </c>
      <c r="B168" s="12" t="s">
        <v>13</v>
      </c>
      <c r="C168" s="13">
        <v>5394</v>
      </c>
      <c r="D168" s="14" t="s">
        <v>116</v>
      </c>
      <c r="E168" s="13" t="s">
        <v>47</v>
      </c>
      <c r="F168" s="15">
        <v>181.63890179495834</v>
      </c>
      <c r="G168" s="16">
        <v>90.819450897479172</v>
      </c>
      <c r="H168" s="17">
        <f t="shared" si="9"/>
        <v>0.88</v>
      </c>
      <c r="I168" s="17">
        <f t="shared" si="10"/>
        <v>1.88</v>
      </c>
      <c r="J168" s="18">
        <f t="shared" si="11"/>
        <v>0.3</v>
      </c>
      <c r="K168" s="18">
        <f t="shared" si="8"/>
        <v>4.9631999999999996</v>
      </c>
      <c r="L168" s="14" t="s">
        <v>48</v>
      </c>
    </row>
    <row r="169" spans="1:12" x14ac:dyDescent="0.3">
      <c r="A169" s="11" t="str">
        <f>Tb_Dados[[#This Row],[CÓD]]&amp;Tb_Dados[[#This Row],[PRODUTO]]&amp;Tb_Dados[[#This Row],[MEDIDA]]</f>
        <v>5394BOX MAXFIRM1000X2000X300</v>
      </c>
      <c r="B169" s="12" t="s">
        <v>13</v>
      </c>
      <c r="C169" s="13">
        <v>5394</v>
      </c>
      <c r="D169" s="14" t="s">
        <v>116</v>
      </c>
      <c r="E169" s="13" t="s">
        <v>234</v>
      </c>
      <c r="F169" s="15">
        <v>205.92291317429488</v>
      </c>
      <c r="G169" s="16">
        <v>102.96145658714744</v>
      </c>
      <c r="H169" s="17">
        <f t="shared" si="9"/>
        <v>1</v>
      </c>
      <c r="I169" s="17">
        <f t="shared" si="10"/>
        <v>2</v>
      </c>
      <c r="J169" s="18">
        <f t="shared" si="11"/>
        <v>0.3</v>
      </c>
      <c r="K169" s="18">
        <f t="shared" si="8"/>
        <v>6</v>
      </c>
      <c r="L169" s="14" t="s">
        <v>235</v>
      </c>
    </row>
    <row r="170" spans="1:12" x14ac:dyDescent="0.3">
      <c r="A170" s="11" t="str">
        <f>Tb_Dados[[#This Row],[CÓD]]&amp;Tb_Dados[[#This Row],[PRODUTO]]&amp;Tb_Dados[[#This Row],[MEDIDA]]</f>
        <v>5394BOX MAXFIRM1280X1880X300</v>
      </c>
      <c r="B170" s="12" t="s">
        <v>13</v>
      </c>
      <c r="C170" s="13">
        <v>5394</v>
      </c>
      <c r="D170" s="14" t="s">
        <v>116</v>
      </c>
      <c r="E170" s="13" t="s">
        <v>50</v>
      </c>
      <c r="F170" s="15">
        <v>237.52066400329971</v>
      </c>
      <c r="G170" s="16">
        <v>118.76033200164986</v>
      </c>
      <c r="H170" s="17">
        <f t="shared" si="9"/>
        <v>1.28</v>
      </c>
      <c r="I170" s="17">
        <f t="shared" si="10"/>
        <v>1.88</v>
      </c>
      <c r="J170" s="18">
        <f t="shared" si="11"/>
        <v>0.3</v>
      </c>
      <c r="K170" s="18">
        <f t="shared" si="8"/>
        <v>7.2191999999999998</v>
      </c>
      <c r="L170" s="14" t="s">
        <v>51</v>
      </c>
    </row>
    <row r="171" spans="1:12" x14ac:dyDescent="0.3">
      <c r="A171" s="11" t="str">
        <f>Tb_Dados[[#This Row],[CÓD]]&amp;Tb_Dados[[#This Row],[PRODUTO]]&amp;Tb_Dados[[#This Row],[MEDIDA]]</f>
        <v>5394BOX MAXFIRM1380X1880X300</v>
      </c>
      <c r="B171" s="12" t="s">
        <v>13</v>
      </c>
      <c r="C171" s="13">
        <v>5394</v>
      </c>
      <c r="D171" s="14" t="s">
        <v>116</v>
      </c>
      <c r="E171" s="13" t="s">
        <v>53</v>
      </c>
      <c r="F171" s="15">
        <v>237.52066400329971</v>
      </c>
      <c r="G171" s="16">
        <v>118.76033200164986</v>
      </c>
      <c r="H171" s="17">
        <f t="shared" si="9"/>
        <v>1.38</v>
      </c>
      <c r="I171" s="17">
        <f t="shared" si="10"/>
        <v>1.88</v>
      </c>
      <c r="J171" s="18">
        <f t="shared" si="11"/>
        <v>0.3</v>
      </c>
      <c r="K171" s="18">
        <f t="shared" si="8"/>
        <v>7.783199999999999</v>
      </c>
      <c r="L171" s="14" t="s">
        <v>54</v>
      </c>
    </row>
    <row r="172" spans="1:12" x14ac:dyDescent="0.3">
      <c r="A172" s="11" t="str">
        <f>Tb_Dados[[#This Row],[CÓD]]&amp;Tb_Dados[[#This Row],[PRODUTO]]&amp;Tb_Dados[[#This Row],[MEDIDA]]</f>
        <v>5397BOX BIPARTIDO MAXFIRM1580X1980X300</v>
      </c>
      <c r="B172" s="12" t="s">
        <v>13</v>
      </c>
      <c r="C172" s="13">
        <v>5397</v>
      </c>
      <c r="D172" s="14" t="s">
        <v>60</v>
      </c>
      <c r="E172" s="13" t="s">
        <v>56</v>
      </c>
      <c r="F172" s="15">
        <v>361.40599264591668</v>
      </c>
      <c r="G172" s="16">
        <v>90.351498161479171</v>
      </c>
      <c r="H172" s="17">
        <f t="shared" si="9"/>
        <v>1.58</v>
      </c>
      <c r="I172" s="17">
        <f t="shared" si="10"/>
        <v>1.98</v>
      </c>
      <c r="J172" s="18">
        <f t="shared" si="11"/>
        <v>0.3</v>
      </c>
      <c r="K172" s="18">
        <f t="shared" si="8"/>
        <v>9.3852000000000011</v>
      </c>
      <c r="L172" s="14" t="s">
        <v>57</v>
      </c>
    </row>
    <row r="173" spans="1:12" x14ac:dyDescent="0.3">
      <c r="A173" s="11" t="str">
        <f>Tb_Dados[[#This Row],[CÓD]]&amp;Tb_Dados[[#This Row],[PRODUTO]]&amp;Tb_Dados[[#This Row],[MEDIDA]]</f>
        <v>5397BOX BIPARTIDO MAXFIRM1930X2030X300</v>
      </c>
      <c r="B173" s="12" t="s">
        <v>13</v>
      </c>
      <c r="C173" s="13">
        <v>5397</v>
      </c>
      <c r="D173" s="14" t="s">
        <v>60</v>
      </c>
      <c r="E173" s="13" t="s">
        <v>58</v>
      </c>
      <c r="F173" s="15">
        <v>406.20889873258977</v>
      </c>
      <c r="G173" s="16">
        <v>101.55222468314744</v>
      </c>
      <c r="H173" s="17">
        <f t="shared" si="9"/>
        <v>1.93</v>
      </c>
      <c r="I173" s="17">
        <f t="shared" si="10"/>
        <v>2.0299999999999998</v>
      </c>
      <c r="J173" s="18">
        <f t="shared" si="11"/>
        <v>0.3</v>
      </c>
      <c r="K173" s="18">
        <f t="shared" si="8"/>
        <v>11.753699999999998</v>
      </c>
      <c r="L173" s="14" t="s">
        <v>59</v>
      </c>
    </row>
    <row r="174" spans="1:12" x14ac:dyDescent="0.3">
      <c r="A174" s="11" t="str">
        <f>Tb_Dados[[#This Row],[CÓD]]&amp;Tb_Dados[[#This Row],[PRODUTO]]&amp;Tb_Dados[[#This Row],[MEDIDA]]</f>
        <v>2899BOX COM AUXÍLIO BONJI CINZA880X1880X300</v>
      </c>
      <c r="B174" s="12" t="s">
        <v>13</v>
      </c>
      <c r="C174" s="13">
        <v>2899</v>
      </c>
      <c r="D174" s="14" t="s">
        <v>83</v>
      </c>
      <c r="E174" s="13" t="s">
        <v>47</v>
      </c>
      <c r="F174" s="15">
        <v>365.95968410494464</v>
      </c>
      <c r="G174" s="16">
        <v>182.97984205247232</v>
      </c>
      <c r="H174" s="17">
        <f t="shared" si="9"/>
        <v>0.88</v>
      </c>
      <c r="I174" s="17">
        <f t="shared" si="10"/>
        <v>1.88</v>
      </c>
      <c r="J174" s="18">
        <f t="shared" si="11"/>
        <v>0.3</v>
      </c>
      <c r="K174" s="18">
        <f t="shared" si="8"/>
        <v>4.9631999999999996</v>
      </c>
      <c r="L174" s="22" t="s">
        <v>236</v>
      </c>
    </row>
    <row r="175" spans="1:12" x14ac:dyDescent="0.3">
      <c r="A175" s="11" t="str">
        <f>Tb_Dados[[#This Row],[CÓD]]&amp;Tb_Dados[[#This Row],[PRODUTO]]&amp;Tb_Dados[[#This Row],[MEDIDA]]</f>
        <v>13171COLC ITALY D45780X1880X170</v>
      </c>
      <c r="B175" s="12" t="s">
        <v>13</v>
      </c>
      <c r="C175" s="13">
        <v>13171</v>
      </c>
      <c r="D175" s="14" t="s">
        <v>154</v>
      </c>
      <c r="E175" s="13" t="s">
        <v>237</v>
      </c>
      <c r="F175" s="15">
        <v>297.8181578788753</v>
      </c>
      <c r="G175" s="16">
        <v>148.90907893943765</v>
      </c>
      <c r="H175" s="17">
        <f t="shared" si="9"/>
        <v>0.78</v>
      </c>
      <c r="I175" s="17">
        <f t="shared" si="10"/>
        <v>1.88</v>
      </c>
      <c r="J175" s="18">
        <f t="shared" si="11"/>
        <v>0.17</v>
      </c>
      <c r="K175" s="18">
        <f t="shared" si="8"/>
        <v>2.49288</v>
      </c>
      <c r="L175" s="14" t="s">
        <v>238</v>
      </c>
    </row>
    <row r="176" spans="1:12" x14ac:dyDescent="0.3">
      <c r="A176" s="11" t="str">
        <f>Tb_Dados[[#This Row],[CÓD]]&amp;Tb_Dados[[#This Row],[PRODUTO]]&amp;Tb_Dados[[#This Row],[MEDIDA]]</f>
        <v>13171COLC ITALY D45880X1880X170</v>
      </c>
      <c r="B176" s="12" t="s">
        <v>13</v>
      </c>
      <c r="C176" s="13">
        <v>13171</v>
      </c>
      <c r="D176" s="14" t="s">
        <v>154</v>
      </c>
      <c r="E176" s="13" t="s">
        <v>239</v>
      </c>
      <c r="F176" s="15">
        <v>331.31384988539133</v>
      </c>
      <c r="G176" s="16">
        <v>165.65692494269567</v>
      </c>
      <c r="H176" s="17">
        <f t="shared" si="9"/>
        <v>0.88</v>
      </c>
      <c r="I176" s="17">
        <f t="shared" si="10"/>
        <v>1.88</v>
      </c>
      <c r="J176" s="18">
        <f t="shared" si="11"/>
        <v>0.17</v>
      </c>
      <c r="K176" s="18">
        <f t="shared" si="8"/>
        <v>2.8124799999999999</v>
      </c>
      <c r="L176" s="14" t="s">
        <v>240</v>
      </c>
    </row>
    <row r="177" spans="1:12" x14ac:dyDescent="0.3">
      <c r="A177" s="11" t="str">
        <f>Tb_Dados[[#This Row],[CÓD]]&amp;Tb_Dados[[#This Row],[PRODUTO]]&amp;Tb_Dados[[#This Row],[MEDIDA]]</f>
        <v>13171COLC ITALY D451000X2000X170</v>
      </c>
      <c r="B177" s="12" t="s">
        <v>13</v>
      </c>
      <c r="C177" s="13">
        <v>13171</v>
      </c>
      <c r="D177" s="14" t="s">
        <v>154</v>
      </c>
      <c r="E177" s="13" t="s">
        <v>241</v>
      </c>
      <c r="F177" s="15">
        <v>410.0085222655556</v>
      </c>
      <c r="G177" s="16">
        <v>205.0042611327778</v>
      </c>
      <c r="H177" s="17">
        <f t="shared" si="9"/>
        <v>1</v>
      </c>
      <c r="I177" s="17">
        <f t="shared" si="10"/>
        <v>2</v>
      </c>
      <c r="J177" s="18">
        <f t="shared" si="11"/>
        <v>0.17</v>
      </c>
      <c r="K177" s="18">
        <f t="shared" si="8"/>
        <v>3.4000000000000004</v>
      </c>
      <c r="L177" s="14" t="s">
        <v>242</v>
      </c>
    </row>
    <row r="178" spans="1:12" x14ac:dyDescent="0.3">
      <c r="A178" s="11" t="str">
        <f>Tb_Dados[[#This Row],[CÓD]]&amp;Tb_Dados[[#This Row],[PRODUTO]]&amp;Tb_Dados[[#This Row],[MEDIDA]]</f>
        <v>13171COLC ITALY D451280X1880X170</v>
      </c>
      <c r="B178" s="12" t="s">
        <v>13</v>
      </c>
      <c r="C178" s="13">
        <v>13171</v>
      </c>
      <c r="D178" s="14" t="s">
        <v>154</v>
      </c>
      <c r="E178" s="13" t="s">
        <v>243</v>
      </c>
      <c r="F178" s="15">
        <v>522.54427185672102</v>
      </c>
      <c r="G178" s="16">
        <v>261.27213592836051</v>
      </c>
      <c r="H178" s="17">
        <f t="shared" si="9"/>
        <v>1.28</v>
      </c>
      <c r="I178" s="17">
        <f t="shared" si="10"/>
        <v>1.88</v>
      </c>
      <c r="J178" s="18">
        <f t="shared" si="11"/>
        <v>0.17</v>
      </c>
      <c r="K178" s="18">
        <f t="shared" si="8"/>
        <v>4.0908800000000003</v>
      </c>
      <c r="L178" s="14" t="s">
        <v>244</v>
      </c>
    </row>
    <row r="179" spans="1:12" x14ac:dyDescent="0.3">
      <c r="A179" s="11" t="str">
        <f>Tb_Dados[[#This Row],[CÓD]]&amp;Tb_Dados[[#This Row],[PRODUTO]]&amp;Tb_Dados[[#This Row],[MEDIDA]]</f>
        <v>13171COLC ITALY D451380X1880X170</v>
      </c>
      <c r="B179" s="12" t="s">
        <v>13</v>
      </c>
      <c r="C179" s="13">
        <v>13171</v>
      </c>
      <c r="D179" s="14" t="s">
        <v>154</v>
      </c>
      <c r="E179" s="13" t="s">
        <v>245</v>
      </c>
      <c r="F179" s="15">
        <v>522.54427185672102</v>
      </c>
      <c r="G179" s="16">
        <v>261.27213592836051</v>
      </c>
      <c r="H179" s="17">
        <f t="shared" si="9"/>
        <v>1.38</v>
      </c>
      <c r="I179" s="17">
        <f t="shared" si="10"/>
        <v>1.88</v>
      </c>
      <c r="J179" s="18">
        <f t="shared" si="11"/>
        <v>0.17</v>
      </c>
      <c r="K179" s="18">
        <f t="shared" si="8"/>
        <v>4.4104799999999997</v>
      </c>
      <c r="L179" s="14" t="s">
        <v>246</v>
      </c>
    </row>
    <row r="180" spans="1:12" x14ac:dyDescent="0.3">
      <c r="A180" s="11" t="str">
        <f>Tb_Dados[[#This Row],[CÓD]]&amp;Tb_Dados[[#This Row],[PRODUTO]]&amp;Tb_Dados[[#This Row],[MEDIDA]]</f>
        <v>13171COLC ITALY D45780X1880X200</v>
      </c>
      <c r="B180" s="12" t="s">
        <v>13</v>
      </c>
      <c r="C180" s="13">
        <v>13171</v>
      </c>
      <c r="D180" s="14" t="s">
        <v>154</v>
      </c>
      <c r="E180" s="13" t="s">
        <v>247</v>
      </c>
      <c r="F180" s="15">
        <v>360.49849351405044</v>
      </c>
      <c r="G180" s="16">
        <v>180.24924675702522</v>
      </c>
      <c r="H180" s="17">
        <f t="shared" si="9"/>
        <v>0.78</v>
      </c>
      <c r="I180" s="17">
        <f t="shared" si="10"/>
        <v>1.88</v>
      </c>
      <c r="J180" s="18">
        <f t="shared" si="11"/>
        <v>0.2</v>
      </c>
      <c r="K180" s="18">
        <f t="shared" si="8"/>
        <v>2.9327999999999999</v>
      </c>
      <c r="L180" s="14" t="s">
        <v>248</v>
      </c>
    </row>
    <row r="181" spans="1:12" x14ac:dyDescent="0.3">
      <c r="A181" s="11" t="str">
        <f>Tb_Dados[[#This Row],[CÓD]]&amp;Tb_Dados[[#This Row],[PRODUTO]]&amp;Tb_Dados[[#This Row],[MEDIDA]]</f>
        <v>13171COLC ITALY D45880X1880X200</v>
      </c>
      <c r="B181" s="12" t="s">
        <v>13</v>
      </c>
      <c r="C181" s="13">
        <v>13171</v>
      </c>
      <c r="D181" s="14" t="s">
        <v>154</v>
      </c>
      <c r="E181" s="13" t="s">
        <v>208</v>
      </c>
      <c r="F181" s="15">
        <v>404.37781787217506</v>
      </c>
      <c r="G181" s="16">
        <v>202.18890893608753</v>
      </c>
      <c r="H181" s="17">
        <f t="shared" si="9"/>
        <v>0.88</v>
      </c>
      <c r="I181" s="17">
        <f t="shared" si="10"/>
        <v>1.88</v>
      </c>
      <c r="J181" s="18">
        <f t="shared" si="11"/>
        <v>0.2</v>
      </c>
      <c r="K181" s="18">
        <f t="shared" si="8"/>
        <v>3.3088000000000002</v>
      </c>
      <c r="L181" s="14" t="s">
        <v>209</v>
      </c>
    </row>
    <row r="182" spans="1:12" x14ac:dyDescent="0.3">
      <c r="A182" s="11" t="str">
        <f>Tb_Dados[[#This Row],[CÓD]]&amp;Tb_Dados[[#This Row],[PRODUTO]]&amp;Tb_Dados[[#This Row],[MEDIDA]]</f>
        <v>13171COLC ITALY D451000X2000X200</v>
      </c>
      <c r="B182" s="12" t="s">
        <v>13</v>
      </c>
      <c r="C182" s="13">
        <v>13171</v>
      </c>
      <c r="D182" s="14" t="s">
        <v>154</v>
      </c>
      <c r="E182" s="13" t="s">
        <v>210</v>
      </c>
      <c r="F182" s="15">
        <v>475.57178820209441</v>
      </c>
      <c r="G182" s="16">
        <v>237.78589410104721</v>
      </c>
      <c r="H182" s="17">
        <f t="shared" si="9"/>
        <v>1</v>
      </c>
      <c r="I182" s="17">
        <f t="shared" si="10"/>
        <v>2</v>
      </c>
      <c r="J182" s="18">
        <f t="shared" si="11"/>
        <v>0.2</v>
      </c>
      <c r="K182" s="18">
        <f t="shared" si="8"/>
        <v>4</v>
      </c>
      <c r="L182" s="14" t="s">
        <v>211</v>
      </c>
    </row>
    <row r="183" spans="1:12" x14ac:dyDescent="0.3">
      <c r="A183" s="11" t="str">
        <f>Tb_Dados[[#This Row],[CÓD]]&amp;Tb_Dados[[#This Row],[PRODUTO]]&amp;Tb_Dados[[#This Row],[MEDIDA]]</f>
        <v>13171COLC ITALY D451280X1880X200</v>
      </c>
      <c r="B183" s="12" t="s">
        <v>13</v>
      </c>
      <c r="C183" s="13">
        <v>13171</v>
      </c>
      <c r="D183" s="14" t="s">
        <v>154</v>
      </c>
      <c r="E183" s="13" t="s">
        <v>212</v>
      </c>
      <c r="F183" s="15">
        <v>623.77443966279895</v>
      </c>
      <c r="G183" s="16">
        <v>311.88721983139948</v>
      </c>
      <c r="H183" s="17">
        <f t="shared" si="9"/>
        <v>1.28</v>
      </c>
      <c r="I183" s="17">
        <f t="shared" si="10"/>
        <v>1.88</v>
      </c>
      <c r="J183" s="18">
        <f t="shared" si="11"/>
        <v>0.2</v>
      </c>
      <c r="K183" s="18">
        <f t="shared" si="8"/>
        <v>4.8128000000000002</v>
      </c>
      <c r="L183" s="14" t="s">
        <v>213</v>
      </c>
    </row>
    <row r="184" spans="1:12" x14ac:dyDescent="0.3">
      <c r="A184" s="11" t="str">
        <f>Tb_Dados[[#This Row],[CÓD]]&amp;Tb_Dados[[#This Row],[PRODUTO]]&amp;Tb_Dados[[#This Row],[MEDIDA]]</f>
        <v>13171COLC ITALY D451380X1880X200</v>
      </c>
      <c r="B184" s="12" t="s">
        <v>13</v>
      </c>
      <c r="C184" s="13">
        <v>13171</v>
      </c>
      <c r="D184" s="14" t="s">
        <v>154</v>
      </c>
      <c r="E184" s="13" t="s">
        <v>214</v>
      </c>
      <c r="F184" s="15">
        <v>623.77443966279895</v>
      </c>
      <c r="G184" s="16">
        <v>311.88721983139948</v>
      </c>
      <c r="H184" s="17">
        <f t="shared" si="9"/>
        <v>1.38</v>
      </c>
      <c r="I184" s="17">
        <f t="shared" si="10"/>
        <v>1.88</v>
      </c>
      <c r="J184" s="18">
        <f t="shared" si="11"/>
        <v>0.2</v>
      </c>
      <c r="K184" s="18">
        <f t="shared" si="8"/>
        <v>5.1888000000000005</v>
      </c>
      <c r="L184" s="14" t="s">
        <v>215</v>
      </c>
    </row>
    <row r="185" spans="1:12" x14ac:dyDescent="0.3">
      <c r="A185" s="11" t="str">
        <f>Tb_Dados[[#This Row],[CÓD]]&amp;Tb_Dados[[#This Row],[PRODUTO]]&amp;Tb_Dados[[#This Row],[MEDIDA]]</f>
        <v>13171COLC ITALY D45780X1880X240</v>
      </c>
      <c r="B185" s="12" t="s">
        <v>13</v>
      </c>
      <c r="C185" s="13">
        <v>13171</v>
      </c>
      <c r="D185" s="14" t="s">
        <v>154</v>
      </c>
      <c r="E185" s="13" t="s">
        <v>249</v>
      </c>
      <c r="F185" s="15">
        <v>427.86407966538906</v>
      </c>
      <c r="G185" s="16">
        <v>213.93203983269453</v>
      </c>
      <c r="H185" s="17">
        <f t="shared" si="9"/>
        <v>0.78</v>
      </c>
      <c r="I185" s="17">
        <f t="shared" si="10"/>
        <v>1.88</v>
      </c>
      <c r="J185" s="18">
        <f t="shared" si="11"/>
        <v>0.24</v>
      </c>
      <c r="K185" s="18">
        <f t="shared" si="8"/>
        <v>3.5193599999999998</v>
      </c>
      <c r="L185" s="14" t="s">
        <v>250</v>
      </c>
    </row>
    <row r="186" spans="1:12" x14ac:dyDescent="0.3">
      <c r="A186" s="11" t="str">
        <f>Tb_Dados[[#This Row],[CÓD]]&amp;Tb_Dados[[#This Row],[PRODUTO]]&amp;Tb_Dados[[#This Row],[MEDIDA]]</f>
        <v>13171COLC ITALY D45880X1880X240</v>
      </c>
      <c r="B186" s="12" t="s">
        <v>13</v>
      </c>
      <c r="C186" s="13">
        <v>13171</v>
      </c>
      <c r="D186" s="14" t="s">
        <v>154</v>
      </c>
      <c r="E186" s="13" t="s">
        <v>220</v>
      </c>
      <c r="F186" s="15">
        <v>479.7980333600209</v>
      </c>
      <c r="G186" s="16">
        <v>239.89901668001045</v>
      </c>
      <c r="H186" s="17">
        <f t="shared" si="9"/>
        <v>0.88</v>
      </c>
      <c r="I186" s="17">
        <f t="shared" si="10"/>
        <v>1.88</v>
      </c>
      <c r="J186" s="18">
        <f t="shared" si="11"/>
        <v>0.24</v>
      </c>
      <c r="K186" s="18">
        <f t="shared" si="8"/>
        <v>3.9705599999999999</v>
      </c>
      <c r="L186" s="14" t="s">
        <v>221</v>
      </c>
    </row>
    <row r="187" spans="1:12" x14ac:dyDescent="0.3">
      <c r="A187" s="11" t="str">
        <f>Tb_Dados[[#This Row],[CÓD]]&amp;Tb_Dados[[#This Row],[PRODUTO]]&amp;Tb_Dados[[#This Row],[MEDIDA]]</f>
        <v>13171COLC ITALY D451000X2000X240</v>
      </c>
      <c r="B187" s="12" t="s">
        <v>13</v>
      </c>
      <c r="C187" s="13">
        <v>13171</v>
      </c>
      <c r="D187" s="14" t="s">
        <v>154</v>
      </c>
      <c r="E187" s="13" t="s">
        <v>222</v>
      </c>
      <c r="F187" s="15">
        <v>565.83097595334436</v>
      </c>
      <c r="G187" s="16">
        <v>282.91548797667218</v>
      </c>
      <c r="H187" s="17">
        <f t="shared" si="9"/>
        <v>1</v>
      </c>
      <c r="I187" s="17">
        <f t="shared" si="10"/>
        <v>2</v>
      </c>
      <c r="J187" s="18">
        <f t="shared" si="11"/>
        <v>0.24</v>
      </c>
      <c r="K187" s="18">
        <f t="shared" si="8"/>
        <v>4.8</v>
      </c>
      <c r="L187" s="14" t="s">
        <v>223</v>
      </c>
    </row>
    <row r="188" spans="1:12" x14ac:dyDescent="0.3">
      <c r="A188" s="11" t="str">
        <f>Tb_Dados[[#This Row],[CÓD]]&amp;Tb_Dados[[#This Row],[PRODUTO]]&amp;Tb_Dados[[#This Row],[MEDIDA]]</f>
        <v>13171COLC ITALY D451280X1880X240</v>
      </c>
      <c r="B188" s="12" t="s">
        <v>13</v>
      </c>
      <c r="C188" s="13">
        <v>13171</v>
      </c>
      <c r="D188" s="14" t="s">
        <v>154</v>
      </c>
      <c r="E188" s="13" t="s">
        <v>224</v>
      </c>
      <c r="F188" s="15">
        <v>739.46780183318094</v>
      </c>
      <c r="G188" s="16">
        <v>369.73390091659047</v>
      </c>
      <c r="H188" s="17">
        <f t="shared" si="9"/>
        <v>1.28</v>
      </c>
      <c r="I188" s="17">
        <f t="shared" si="10"/>
        <v>1.88</v>
      </c>
      <c r="J188" s="18">
        <f t="shared" si="11"/>
        <v>0.24</v>
      </c>
      <c r="K188" s="18">
        <f t="shared" si="8"/>
        <v>5.7753600000000009</v>
      </c>
      <c r="L188" s="14" t="s">
        <v>225</v>
      </c>
    </row>
    <row r="189" spans="1:12" x14ac:dyDescent="0.3">
      <c r="A189" s="11" t="str">
        <f>Tb_Dados[[#This Row],[CÓD]]&amp;Tb_Dados[[#This Row],[PRODUTO]]&amp;Tb_Dados[[#This Row],[MEDIDA]]</f>
        <v>13171COLC ITALY D451380X1880X240</v>
      </c>
      <c r="B189" s="12" t="s">
        <v>13</v>
      </c>
      <c r="C189" s="13">
        <v>13171</v>
      </c>
      <c r="D189" s="14" t="s">
        <v>154</v>
      </c>
      <c r="E189" s="13" t="s">
        <v>226</v>
      </c>
      <c r="F189" s="15">
        <v>739.46780183318094</v>
      </c>
      <c r="G189" s="16">
        <v>369.73390091659047</v>
      </c>
      <c r="H189" s="17">
        <f t="shared" si="9"/>
        <v>1.38</v>
      </c>
      <c r="I189" s="17">
        <f t="shared" si="10"/>
        <v>1.88</v>
      </c>
      <c r="J189" s="18">
        <f t="shared" si="11"/>
        <v>0.24</v>
      </c>
      <c r="K189" s="18">
        <f t="shared" si="8"/>
        <v>6.2265600000000001</v>
      </c>
      <c r="L189" s="14" t="s">
        <v>227</v>
      </c>
    </row>
    <row r="190" spans="1:12" x14ac:dyDescent="0.3">
      <c r="A190" s="11" t="str">
        <f>Tb_Dados[[#This Row],[CÓD]]&amp;Tb_Dados[[#This Row],[PRODUTO]]&amp;Tb_Dados[[#This Row],[MEDIDA]]</f>
        <v>13171COLC ITALY D451580X1980X240</v>
      </c>
      <c r="B190" s="12" t="s">
        <v>13</v>
      </c>
      <c r="C190" s="13">
        <v>13171</v>
      </c>
      <c r="D190" s="14" t="s">
        <v>154</v>
      </c>
      <c r="E190" s="13" t="s">
        <v>228</v>
      </c>
      <c r="F190" s="15">
        <v>877.15807413945288</v>
      </c>
      <c r="G190" s="16">
        <v>438.57903706972644</v>
      </c>
      <c r="H190" s="17">
        <f t="shared" si="9"/>
        <v>1.58</v>
      </c>
      <c r="I190" s="17">
        <f t="shared" si="10"/>
        <v>1.98</v>
      </c>
      <c r="J190" s="18">
        <f t="shared" si="11"/>
        <v>0.24</v>
      </c>
      <c r="K190" s="18">
        <f t="shared" si="8"/>
        <v>7.5081600000000002</v>
      </c>
      <c r="L190" s="14" t="s">
        <v>229</v>
      </c>
    </row>
    <row r="191" spans="1:12" x14ac:dyDescent="0.3">
      <c r="A191" s="11" t="str">
        <f>Tb_Dados[[#This Row],[CÓD]]&amp;Tb_Dados[[#This Row],[PRODUTO]]&amp;Tb_Dados[[#This Row],[MEDIDA]]</f>
        <v>13171COLC ITALY PLUS880X1880X300</v>
      </c>
      <c r="B191" s="12" t="s">
        <v>13</v>
      </c>
      <c r="C191" s="13">
        <v>13171</v>
      </c>
      <c r="D191" s="14" t="s">
        <v>155</v>
      </c>
      <c r="E191" s="13" t="s">
        <v>47</v>
      </c>
      <c r="F191" s="15">
        <v>440.7784076578601</v>
      </c>
      <c r="G191" s="16">
        <v>220.38920382893005</v>
      </c>
      <c r="H191" s="17">
        <f t="shared" si="9"/>
        <v>0.88</v>
      </c>
      <c r="I191" s="17">
        <f t="shared" si="10"/>
        <v>1.88</v>
      </c>
      <c r="J191" s="18">
        <f t="shared" si="11"/>
        <v>0.3</v>
      </c>
      <c r="K191" s="18">
        <f t="shared" si="8"/>
        <v>4.9631999999999996</v>
      </c>
      <c r="L191" s="14" t="s">
        <v>48</v>
      </c>
    </row>
    <row r="192" spans="1:12" x14ac:dyDescent="0.3">
      <c r="A192" s="11" t="str">
        <f>Tb_Dados[[#This Row],[CÓD]]&amp;Tb_Dados[[#This Row],[PRODUTO]]&amp;Tb_Dados[[#This Row],[MEDIDA]]</f>
        <v>13171COLC ITALY PLUS1280X1880X300</v>
      </c>
      <c r="B192" s="12" t="s">
        <v>13</v>
      </c>
      <c r="C192" s="13">
        <v>13171</v>
      </c>
      <c r="D192" s="14" t="s">
        <v>155</v>
      </c>
      <c r="E192" s="13" t="s">
        <v>50</v>
      </c>
      <c r="F192" s="15">
        <v>671.67689003171051</v>
      </c>
      <c r="G192" s="16">
        <v>335.83844501585526</v>
      </c>
      <c r="H192" s="17">
        <f t="shared" si="9"/>
        <v>1.28</v>
      </c>
      <c r="I192" s="17">
        <f t="shared" si="10"/>
        <v>1.88</v>
      </c>
      <c r="J192" s="18">
        <f t="shared" si="11"/>
        <v>0.3</v>
      </c>
      <c r="K192" s="18">
        <f t="shared" si="8"/>
        <v>7.2191999999999998</v>
      </c>
      <c r="L192" s="14" t="s">
        <v>51</v>
      </c>
    </row>
    <row r="193" spans="1:12" x14ac:dyDescent="0.3">
      <c r="A193" s="11" t="str">
        <f>Tb_Dados[[#This Row],[CÓD]]&amp;Tb_Dados[[#This Row],[PRODUTO]]&amp;Tb_Dados[[#This Row],[MEDIDA]]</f>
        <v>13171COLC ITALY PLUS1380X1880X300</v>
      </c>
      <c r="B193" s="12" t="s">
        <v>13</v>
      </c>
      <c r="C193" s="13">
        <v>13171</v>
      </c>
      <c r="D193" s="14" t="s">
        <v>155</v>
      </c>
      <c r="E193" s="13" t="s">
        <v>53</v>
      </c>
      <c r="F193" s="15">
        <v>671.67689003171051</v>
      </c>
      <c r="G193" s="16">
        <v>335.83844501585526</v>
      </c>
      <c r="H193" s="17">
        <f t="shared" si="9"/>
        <v>1.38</v>
      </c>
      <c r="I193" s="17">
        <f t="shared" si="10"/>
        <v>1.88</v>
      </c>
      <c r="J193" s="18">
        <f t="shared" si="11"/>
        <v>0.3</v>
      </c>
      <c r="K193" s="18">
        <f t="shared" si="8"/>
        <v>7.783199999999999</v>
      </c>
      <c r="L193" s="14" t="s">
        <v>54</v>
      </c>
    </row>
    <row r="194" spans="1:12" x14ac:dyDescent="0.3">
      <c r="A194" s="11" t="str">
        <f>Tb_Dados[[#This Row],[CÓD]]&amp;Tb_Dados[[#This Row],[PRODUTO]]&amp;Tb_Dados[[#This Row],[MEDIDA]]</f>
        <v>13171COLC ITALY PLUS1580X1980X300</v>
      </c>
      <c r="B194" s="12" t="s">
        <v>13</v>
      </c>
      <c r="C194" s="13">
        <v>13171</v>
      </c>
      <c r="D194" s="14" t="s">
        <v>155</v>
      </c>
      <c r="E194" s="13" t="s">
        <v>56</v>
      </c>
      <c r="F194" s="15">
        <v>796.27685254999074</v>
      </c>
      <c r="G194" s="16">
        <v>398.13842627499537</v>
      </c>
      <c r="H194" s="17">
        <f t="shared" si="9"/>
        <v>1.58</v>
      </c>
      <c r="I194" s="17">
        <f t="shared" si="10"/>
        <v>1.98</v>
      </c>
      <c r="J194" s="18">
        <f t="shared" si="11"/>
        <v>0.3</v>
      </c>
      <c r="K194" s="18">
        <f t="shared" si="8"/>
        <v>9.3852000000000011</v>
      </c>
      <c r="L194" s="14" t="s">
        <v>57</v>
      </c>
    </row>
    <row r="195" spans="1:12" x14ac:dyDescent="0.3">
      <c r="A195" s="11" t="str">
        <f>Tb_Dados[[#This Row],[CÓD]]&amp;Tb_Dados[[#This Row],[PRODUTO]]&amp;Tb_Dados[[#This Row],[MEDIDA]]</f>
        <v>13171COLC ITALY PLUS1930X2030X300</v>
      </c>
      <c r="B195" s="12" t="s">
        <v>13</v>
      </c>
      <c r="C195" s="13">
        <v>13171</v>
      </c>
      <c r="D195" s="14" t="s">
        <v>155</v>
      </c>
      <c r="E195" s="13" t="s">
        <v>58</v>
      </c>
      <c r="F195" s="15">
        <v>988.84200524514983</v>
      </c>
      <c r="G195" s="16">
        <v>494.42100262257492</v>
      </c>
      <c r="H195" s="17">
        <f t="shared" si="9"/>
        <v>1.93</v>
      </c>
      <c r="I195" s="17">
        <f t="shared" si="10"/>
        <v>2.0299999999999998</v>
      </c>
      <c r="J195" s="18">
        <f t="shared" si="11"/>
        <v>0.3</v>
      </c>
      <c r="K195" s="18">
        <f t="shared" si="8"/>
        <v>11.753699999999998</v>
      </c>
      <c r="L195" s="14" t="s">
        <v>59</v>
      </c>
    </row>
    <row r="196" spans="1:12" x14ac:dyDescent="0.3">
      <c r="A196" s="11" t="str">
        <f>Tb_Dados[[#This Row],[CÓD]]&amp;Tb_Dados[[#This Row],[PRODUTO]]&amp;Tb_Dados[[#This Row],[MEDIDA]]</f>
        <v>13171COLC ITALY PLW880X1880X350</v>
      </c>
      <c r="B196" s="12" t="s">
        <v>13</v>
      </c>
      <c r="C196" s="13">
        <v>13171</v>
      </c>
      <c r="D196" s="14" t="s">
        <v>156</v>
      </c>
      <c r="E196" s="13" t="s">
        <v>15</v>
      </c>
      <c r="F196" s="15">
        <v>513.52677534041709</v>
      </c>
      <c r="G196" s="16">
        <v>256.76338767020854</v>
      </c>
      <c r="H196" s="17">
        <f t="shared" si="9"/>
        <v>0.88</v>
      </c>
      <c r="I196" s="17">
        <f t="shared" si="10"/>
        <v>1.88</v>
      </c>
      <c r="J196" s="18">
        <f t="shared" si="11"/>
        <v>0.35</v>
      </c>
      <c r="K196" s="18">
        <f t="shared" si="8"/>
        <v>5.7903999999999991</v>
      </c>
      <c r="L196" s="14" t="s">
        <v>16</v>
      </c>
    </row>
    <row r="197" spans="1:12" x14ac:dyDescent="0.3">
      <c r="A197" s="11" t="str">
        <f>Tb_Dados[[#This Row],[CÓD]]&amp;Tb_Dados[[#This Row],[PRODUTO]]&amp;Tb_Dados[[#This Row],[MEDIDA]]</f>
        <v>13171COLC ITALY PLW1280X1880X350</v>
      </c>
      <c r="B197" s="12" t="s">
        <v>13</v>
      </c>
      <c r="C197" s="13">
        <v>13171</v>
      </c>
      <c r="D197" s="14" t="s">
        <v>156</v>
      </c>
      <c r="E197" s="13" t="s">
        <v>18</v>
      </c>
      <c r="F197" s="15">
        <v>782.26417642366016</v>
      </c>
      <c r="G197" s="16">
        <v>391.13208821183008</v>
      </c>
      <c r="H197" s="17">
        <f t="shared" si="9"/>
        <v>1.28</v>
      </c>
      <c r="I197" s="17">
        <f t="shared" si="10"/>
        <v>1.88</v>
      </c>
      <c r="J197" s="18">
        <f t="shared" si="11"/>
        <v>0.35</v>
      </c>
      <c r="K197" s="18">
        <f t="shared" si="8"/>
        <v>8.4223999999999997</v>
      </c>
      <c r="L197" s="14" t="s">
        <v>19</v>
      </c>
    </row>
    <row r="198" spans="1:12" x14ac:dyDescent="0.3">
      <c r="A198" s="11" t="str">
        <f>Tb_Dados[[#This Row],[CÓD]]&amp;Tb_Dados[[#This Row],[PRODUTO]]&amp;Tb_Dados[[#This Row],[MEDIDA]]</f>
        <v>13171COLC ITALY PLW1380X1880X350</v>
      </c>
      <c r="B198" s="12" t="s">
        <v>13</v>
      </c>
      <c r="C198" s="13">
        <v>13171</v>
      </c>
      <c r="D198" s="14" t="s">
        <v>156</v>
      </c>
      <c r="E198" s="13" t="s">
        <v>21</v>
      </c>
      <c r="F198" s="15">
        <v>782.26417642366016</v>
      </c>
      <c r="G198" s="16">
        <v>391.13208821183008</v>
      </c>
      <c r="H198" s="17">
        <f t="shared" si="9"/>
        <v>1.38</v>
      </c>
      <c r="I198" s="17">
        <f t="shared" si="10"/>
        <v>1.88</v>
      </c>
      <c r="J198" s="18">
        <f t="shared" si="11"/>
        <v>0.35</v>
      </c>
      <c r="K198" s="18">
        <f t="shared" ref="K198:K261" si="12">H198*I198*J198*10</f>
        <v>9.0803999999999991</v>
      </c>
      <c r="L198" s="14" t="s">
        <v>22</v>
      </c>
    </row>
    <row r="199" spans="1:12" x14ac:dyDescent="0.3">
      <c r="A199" s="11" t="str">
        <f>Tb_Dados[[#This Row],[CÓD]]&amp;Tb_Dados[[#This Row],[PRODUTO]]&amp;Tb_Dados[[#This Row],[MEDIDA]]</f>
        <v>13171COLC ITALY PLW1580X1980X350</v>
      </c>
      <c r="B199" s="12" t="s">
        <v>13</v>
      </c>
      <c r="C199" s="13">
        <v>13171</v>
      </c>
      <c r="D199" s="14" t="s">
        <v>156</v>
      </c>
      <c r="E199" s="13" t="s">
        <v>24</v>
      </c>
      <c r="F199" s="15">
        <v>928.40351023298467</v>
      </c>
      <c r="G199" s="16">
        <v>464.20175511649234</v>
      </c>
      <c r="H199" s="17">
        <f t="shared" ref="H199:H262" si="13">IF($E199="","",_xlfn.TEXTBEFORE($E199,"X")/1000)</f>
        <v>1.58</v>
      </c>
      <c r="I199" s="17">
        <f t="shared" ref="I199:I262" si="14">IF($E199="","",_xlfn.TEXTBEFORE(_xlfn.TEXTAFTER($E199,"X"),"X")/1000)</f>
        <v>1.98</v>
      </c>
      <c r="J199" s="18">
        <f t="shared" ref="J199:J262" si="15">IF($E199="","",_xlfn.TEXTAFTER($E199,"X",2)/1000)</f>
        <v>0.35</v>
      </c>
      <c r="K199" s="18">
        <f t="shared" si="12"/>
        <v>10.949400000000001</v>
      </c>
      <c r="L199" s="14" t="s">
        <v>25</v>
      </c>
    </row>
    <row r="200" spans="1:12" x14ac:dyDescent="0.3">
      <c r="A200" s="11" t="str">
        <f>Tb_Dados[[#This Row],[CÓD]]&amp;Tb_Dados[[#This Row],[PRODUTO]]&amp;Tb_Dados[[#This Row],[MEDIDA]]</f>
        <v>13171COLC ITALY PLW1930X2030X350</v>
      </c>
      <c r="B200" s="12" t="s">
        <v>13</v>
      </c>
      <c r="C200" s="13">
        <v>13171</v>
      </c>
      <c r="D200" s="14" t="s">
        <v>156</v>
      </c>
      <c r="E200" s="13" t="s">
        <v>27</v>
      </c>
      <c r="F200" s="15">
        <v>1152.6947728138973</v>
      </c>
      <c r="G200" s="16">
        <v>576.34738640694866</v>
      </c>
      <c r="H200" s="17">
        <f t="shared" si="13"/>
        <v>1.93</v>
      </c>
      <c r="I200" s="17">
        <f t="shared" si="14"/>
        <v>2.0299999999999998</v>
      </c>
      <c r="J200" s="18">
        <f t="shared" si="15"/>
        <v>0.35</v>
      </c>
      <c r="K200" s="18">
        <f t="shared" si="12"/>
        <v>13.712649999999996</v>
      </c>
      <c r="L200" s="14" t="s">
        <v>28</v>
      </c>
    </row>
    <row r="201" spans="1:12" x14ac:dyDescent="0.3">
      <c r="A201" s="11" t="str">
        <f>Tb_Dados[[#This Row],[CÓD]]&amp;Tb_Dados[[#This Row],[PRODUTO]]&amp;Tb_Dados[[#This Row],[MEDIDA]]</f>
        <v>13632BOX ITALY880X1880X250</v>
      </c>
      <c r="B201" s="12" t="s">
        <v>13</v>
      </c>
      <c r="C201" s="13">
        <v>13632</v>
      </c>
      <c r="D201" s="14" t="s">
        <v>112</v>
      </c>
      <c r="E201" s="13" t="s">
        <v>31</v>
      </c>
      <c r="F201" s="15">
        <v>184.16788010999929</v>
      </c>
      <c r="G201" s="16">
        <v>92.083940054999644</v>
      </c>
      <c r="H201" s="17">
        <f t="shared" si="13"/>
        <v>0.88</v>
      </c>
      <c r="I201" s="17">
        <f t="shared" si="14"/>
        <v>1.88</v>
      </c>
      <c r="J201" s="18">
        <f t="shared" si="15"/>
        <v>0.25</v>
      </c>
      <c r="K201" s="18">
        <f t="shared" si="12"/>
        <v>4.1359999999999992</v>
      </c>
      <c r="L201" s="14" t="s">
        <v>32</v>
      </c>
    </row>
    <row r="202" spans="1:12" x14ac:dyDescent="0.3">
      <c r="A202" s="11" t="str">
        <f>Tb_Dados[[#This Row],[CÓD]]&amp;Tb_Dados[[#This Row],[PRODUTO]]&amp;Tb_Dados[[#This Row],[MEDIDA]]</f>
        <v>13632BOX ITALY1000X2000X250</v>
      </c>
      <c r="B202" s="12" t="s">
        <v>13</v>
      </c>
      <c r="C202" s="13">
        <v>13632</v>
      </c>
      <c r="D202" s="14" t="s">
        <v>112</v>
      </c>
      <c r="E202" s="13" t="s">
        <v>232</v>
      </c>
      <c r="F202" s="15">
        <v>208.44559584076734</v>
      </c>
      <c r="G202" s="16">
        <v>104.22279792038367</v>
      </c>
      <c r="H202" s="17">
        <f t="shared" si="13"/>
        <v>1</v>
      </c>
      <c r="I202" s="17">
        <f t="shared" si="14"/>
        <v>2</v>
      </c>
      <c r="J202" s="18">
        <f t="shared" si="15"/>
        <v>0.25</v>
      </c>
      <c r="K202" s="18">
        <f t="shared" si="12"/>
        <v>5</v>
      </c>
      <c r="L202" s="14" t="s">
        <v>233</v>
      </c>
    </row>
    <row r="203" spans="1:12" x14ac:dyDescent="0.3">
      <c r="A203" s="11" t="str">
        <f>Tb_Dados[[#This Row],[CÓD]]&amp;Tb_Dados[[#This Row],[PRODUTO]]&amp;Tb_Dados[[#This Row],[MEDIDA]]</f>
        <v>13632BOX ITALY1280X1880X250</v>
      </c>
      <c r="B203" s="12" t="s">
        <v>13</v>
      </c>
      <c r="C203" s="13">
        <v>13632</v>
      </c>
      <c r="D203" s="14" t="s">
        <v>112</v>
      </c>
      <c r="E203" s="13" t="s">
        <v>34</v>
      </c>
      <c r="F203" s="15">
        <v>238.98365319691939</v>
      </c>
      <c r="G203" s="16">
        <v>119.4918265984597</v>
      </c>
      <c r="H203" s="17">
        <f t="shared" si="13"/>
        <v>1.28</v>
      </c>
      <c r="I203" s="17">
        <f t="shared" si="14"/>
        <v>1.88</v>
      </c>
      <c r="J203" s="18">
        <f t="shared" si="15"/>
        <v>0.25</v>
      </c>
      <c r="K203" s="18">
        <f t="shared" si="12"/>
        <v>6.016</v>
      </c>
      <c r="L203" s="14" t="s">
        <v>35</v>
      </c>
    </row>
    <row r="204" spans="1:12" x14ac:dyDescent="0.3">
      <c r="A204" s="11" t="str">
        <f>Tb_Dados[[#This Row],[CÓD]]&amp;Tb_Dados[[#This Row],[PRODUTO]]&amp;Tb_Dados[[#This Row],[MEDIDA]]</f>
        <v>13632BOX ITALY1380X1880X250</v>
      </c>
      <c r="B204" s="12" t="s">
        <v>13</v>
      </c>
      <c r="C204" s="13">
        <v>13632</v>
      </c>
      <c r="D204" s="14" t="s">
        <v>112</v>
      </c>
      <c r="E204" s="13" t="s">
        <v>37</v>
      </c>
      <c r="F204" s="15">
        <v>238.98365319691939</v>
      </c>
      <c r="G204" s="16">
        <v>119.4918265984597</v>
      </c>
      <c r="H204" s="17">
        <f t="shared" si="13"/>
        <v>1.38</v>
      </c>
      <c r="I204" s="17">
        <f t="shared" si="14"/>
        <v>1.88</v>
      </c>
      <c r="J204" s="18">
        <f t="shared" si="15"/>
        <v>0.25</v>
      </c>
      <c r="K204" s="18">
        <f t="shared" si="12"/>
        <v>6.4859999999999998</v>
      </c>
      <c r="L204" s="14" t="s">
        <v>38</v>
      </c>
    </row>
    <row r="205" spans="1:12" x14ac:dyDescent="0.3">
      <c r="A205" s="11" t="str">
        <f>Tb_Dados[[#This Row],[CÓD]]&amp;Tb_Dados[[#This Row],[PRODUTO]]&amp;Tb_Dados[[#This Row],[MEDIDA]]</f>
        <v>13633BOX BIPARTIDO ITALY1580X1980X250</v>
      </c>
      <c r="B205" s="12" t="s">
        <v>13</v>
      </c>
      <c r="C205" s="13">
        <v>13633</v>
      </c>
      <c r="D205" s="14" t="s">
        <v>52</v>
      </c>
      <c r="E205" s="13" t="s">
        <v>41</v>
      </c>
      <c r="F205" s="15">
        <v>366.46394927599857</v>
      </c>
      <c r="G205" s="16">
        <v>91.615987318999643</v>
      </c>
      <c r="H205" s="17">
        <f t="shared" si="13"/>
        <v>1.58</v>
      </c>
      <c r="I205" s="17">
        <f t="shared" si="14"/>
        <v>1.98</v>
      </c>
      <c r="J205" s="18">
        <f t="shared" si="15"/>
        <v>0.25</v>
      </c>
      <c r="K205" s="18">
        <f t="shared" si="12"/>
        <v>7.8209999999999997</v>
      </c>
      <c r="L205" s="14" t="s">
        <v>42</v>
      </c>
    </row>
    <row r="206" spans="1:12" x14ac:dyDescent="0.3">
      <c r="A206" s="11" t="str">
        <f>Tb_Dados[[#This Row],[CÓD]]&amp;Tb_Dados[[#This Row],[PRODUTO]]&amp;Tb_Dados[[#This Row],[MEDIDA]]</f>
        <v>13633BOX BIPARTIDO ITALY1930X2030X250</v>
      </c>
      <c r="B206" s="12" t="s">
        <v>13</v>
      </c>
      <c r="C206" s="13">
        <v>13633</v>
      </c>
      <c r="D206" s="14" t="s">
        <v>52</v>
      </c>
      <c r="E206" s="13" t="s">
        <v>44</v>
      </c>
      <c r="F206" s="15">
        <v>411.42346406553469</v>
      </c>
      <c r="G206" s="16">
        <v>102.85586601638367</v>
      </c>
      <c r="H206" s="17">
        <f t="shared" si="13"/>
        <v>1.93</v>
      </c>
      <c r="I206" s="17">
        <f t="shared" si="14"/>
        <v>2.0299999999999998</v>
      </c>
      <c r="J206" s="18">
        <f t="shared" si="15"/>
        <v>0.25</v>
      </c>
      <c r="K206" s="18">
        <f t="shared" si="12"/>
        <v>9.7947499999999987</v>
      </c>
      <c r="L206" s="14" t="s">
        <v>45</v>
      </c>
    </row>
    <row r="207" spans="1:12" x14ac:dyDescent="0.3">
      <c r="A207" s="11" t="str">
        <f>Tb_Dados[[#This Row],[CÓD]]&amp;Tb_Dados[[#This Row],[PRODUTO]]&amp;Tb_Dados[[#This Row],[MEDIDA]]</f>
        <v>13632BOX ITALY880X1880X300</v>
      </c>
      <c r="B207" s="12" t="s">
        <v>13</v>
      </c>
      <c r="C207" s="13">
        <v>13632</v>
      </c>
      <c r="D207" s="14" t="s">
        <v>112</v>
      </c>
      <c r="E207" s="13" t="s">
        <v>47</v>
      </c>
      <c r="F207" s="15">
        <v>189.74696360105435</v>
      </c>
      <c r="G207" s="16">
        <v>94.873481800527173</v>
      </c>
      <c r="H207" s="17">
        <f t="shared" si="13"/>
        <v>0.88</v>
      </c>
      <c r="I207" s="17">
        <f t="shared" si="14"/>
        <v>1.88</v>
      </c>
      <c r="J207" s="18">
        <f t="shared" si="15"/>
        <v>0.3</v>
      </c>
      <c r="K207" s="18">
        <f t="shared" si="12"/>
        <v>4.9631999999999996</v>
      </c>
      <c r="L207" s="14" t="s">
        <v>48</v>
      </c>
    </row>
    <row r="208" spans="1:12" x14ac:dyDescent="0.3">
      <c r="A208" s="11" t="str">
        <f>Tb_Dados[[#This Row],[CÓD]]&amp;Tb_Dados[[#This Row],[PRODUTO]]&amp;Tb_Dados[[#This Row],[MEDIDA]]</f>
        <v>13632BOX ITALY1000X2000X300</v>
      </c>
      <c r="B208" s="12" t="s">
        <v>13</v>
      </c>
      <c r="C208" s="13">
        <v>13632</v>
      </c>
      <c r="D208" s="14" t="s">
        <v>112</v>
      </c>
      <c r="E208" s="13" t="s">
        <v>234</v>
      </c>
      <c r="F208" s="15">
        <v>216.58566594307734</v>
      </c>
      <c r="G208" s="16">
        <v>108.29283297153867</v>
      </c>
      <c r="H208" s="17">
        <f t="shared" si="13"/>
        <v>1</v>
      </c>
      <c r="I208" s="17">
        <f t="shared" si="14"/>
        <v>2</v>
      </c>
      <c r="J208" s="18">
        <f t="shared" si="15"/>
        <v>0.3</v>
      </c>
      <c r="K208" s="18">
        <f t="shared" si="12"/>
        <v>6</v>
      </c>
      <c r="L208" s="14" t="s">
        <v>235</v>
      </c>
    </row>
    <row r="209" spans="1:12" x14ac:dyDescent="0.3">
      <c r="A209" s="11" t="str">
        <f>Tb_Dados[[#This Row],[CÓD]]&amp;Tb_Dados[[#This Row],[PRODUTO]]&amp;Tb_Dados[[#This Row],[MEDIDA]]</f>
        <v>13632BOX ITALY1280X1880X300</v>
      </c>
      <c r="B209" s="12" t="s">
        <v>13</v>
      </c>
      <c r="C209" s="13">
        <v>13632</v>
      </c>
      <c r="D209" s="14" t="s">
        <v>112</v>
      </c>
      <c r="E209" s="13" t="s">
        <v>50</v>
      </c>
      <c r="F209" s="15">
        <v>245.05114648280571</v>
      </c>
      <c r="G209" s="16">
        <v>122.52557324140285</v>
      </c>
      <c r="H209" s="17">
        <f t="shared" si="13"/>
        <v>1.28</v>
      </c>
      <c r="I209" s="17">
        <f t="shared" si="14"/>
        <v>1.88</v>
      </c>
      <c r="J209" s="18">
        <f t="shared" si="15"/>
        <v>0.3</v>
      </c>
      <c r="K209" s="18">
        <f t="shared" si="12"/>
        <v>7.2191999999999998</v>
      </c>
      <c r="L209" s="14" t="s">
        <v>51</v>
      </c>
    </row>
    <row r="210" spans="1:12" x14ac:dyDescent="0.3">
      <c r="A210" s="11" t="str">
        <f>Tb_Dados[[#This Row],[CÓD]]&amp;Tb_Dados[[#This Row],[PRODUTO]]&amp;Tb_Dados[[#This Row],[MEDIDA]]</f>
        <v>13632BOX ITALY1380X1880X300</v>
      </c>
      <c r="B210" s="12" t="s">
        <v>13</v>
      </c>
      <c r="C210" s="13">
        <v>13632</v>
      </c>
      <c r="D210" s="14" t="s">
        <v>112</v>
      </c>
      <c r="E210" s="13" t="s">
        <v>53</v>
      </c>
      <c r="F210" s="15">
        <v>245.05114648280571</v>
      </c>
      <c r="G210" s="16">
        <v>122.52557324140285</v>
      </c>
      <c r="H210" s="17">
        <f t="shared" si="13"/>
        <v>1.38</v>
      </c>
      <c r="I210" s="17">
        <f t="shared" si="14"/>
        <v>1.88</v>
      </c>
      <c r="J210" s="18">
        <f t="shared" si="15"/>
        <v>0.3</v>
      </c>
      <c r="K210" s="18">
        <f t="shared" si="12"/>
        <v>7.783199999999999</v>
      </c>
      <c r="L210" s="14" t="s">
        <v>54</v>
      </c>
    </row>
    <row r="211" spans="1:12" x14ac:dyDescent="0.3">
      <c r="A211" s="11" t="str">
        <f>Tb_Dados[[#This Row],[CÓD]]&amp;Tb_Dados[[#This Row],[PRODUTO]]&amp;Tb_Dados[[#This Row],[MEDIDA]]</f>
        <v>13633BOX BIPARTIDO ITALY1580X1980X300</v>
      </c>
      <c r="B211" s="12" t="s">
        <v>13</v>
      </c>
      <c r="C211" s="13">
        <v>13633</v>
      </c>
      <c r="D211" s="14" t="s">
        <v>52</v>
      </c>
      <c r="E211" s="13" t="s">
        <v>56</v>
      </c>
      <c r="F211" s="15">
        <v>377.62211625810875</v>
      </c>
      <c r="G211" s="16">
        <v>94.405529064527187</v>
      </c>
      <c r="H211" s="17">
        <f t="shared" si="13"/>
        <v>1.58</v>
      </c>
      <c r="I211" s="17">
        <f t="shared" si="14"/>
        <v>1.98</v>
      </c>
      <c r="J211" s="18">
        <f t="shared" si="15"/>
        <v>0.3</v>
      </c>
      <c r="K211" s="18">
        <f t="shared" si="12"/>
        <v>9.3852000000000011</v>
      </c>
      <c r="L211" s="14" t="s">
        <v>57</v>
      </c>
    </row>
    <row r="212" spans="1:12" x14ac:dyDescent="0.3">
      <c r="A212" s="11" t="str">
        <f>Tb_Dados[[#This Row],[CÓD]]&amp;Tb_Dados[[#This Row],[PRODUTO]]&amp;Tb_Dados[[#This Row],[MEDIDA]]</f>
        <v>13633BOX BIPARTIDO ITALY1930X2030X300</v>
      </c>
      <c r="B212" s="12" t="s">
        <v>13</v>
      </c>
      <c r="C212" s="13">
        <v>13633</v>
      </c>
      <c r="D212" s="14" t="s">
        <v>52</v>
      </c>
      <c r="E212" s="13" t="s">
        <v>58</v>
      </c>
      <c r="F212" s="15">
        <v>421.96295888350977</v>
      </c>
      <c r="G212" s="16">
        <v>105.49073972087744</v>
      </c>
      <c r="H212" s="17">
        <f t="shared" si="13"/>
        <v>1.93</v>
      </c>
      <c r="I212" s="17">
        <f t="shared" si="14"/>
        <v>2.0299999999999998</v>
      </c>
      <c r="J212" s="18">
        <f t="shared" si="15"/>
        <v>0.3</v>
      </c>
      <c r="K212" s="18">
        <f t="shared" si="12"/>
        <v>11.753699999999998</v>
      </c>
      <c r="L212" s="14" t="s">
        <v>59</v>
      </c>
    </row>
    <row r="213" spans="1:12" x14ac:dyDescent="0.3">
      <c r="A213" s="11" t="str">
        <f>Tb_Dados[[#This Row],[CÓD]]&amp;Tb_Dados[[#This Row],[PRODUTO]]&amp;Tb_Dados[[#This Row],[MEDIDA]]</f>
        <v>3022COLC SUPREMA D33780X1880X300</v>
      </c>
      <c r="B213" s="12" t="s">
        <v>13</v>
      </c>
      <c r="C213" s="13">
        <v>3022</v>
      </c>
      <c r="D213" s="14" t="s">
        <v>171</v>
      </c>
      <c r="E213" s="13" t="s">
        <v>251</v>
      </c>
      <c r="F213" s="15">
        <v>492.23190163792663</v>
      </c>
      <c r="G213" s="16">
        <v>246.11595081896331</v>
      </c>
      <c r="H213" s="17">
        <f t="shared" si="13"/>
        <v>0.78</v>
      </c>
      <c r="I213" s="17">
        <f t="shared" si="14"/>
        <v>1.88</v>
      </c>
      <c r="J213" s="18">
        <f t="shared" si="15"/>
        <v>0.3</v>
      </c>
      <c r="K213" s="18">
        <f t="shared" si="12"/>
        <v>4.3991999999999996</v>
      </c>
      <c r="L213" s="14" t="s">
        <v>252</v>
      </c>
    </row>
    <row r="214" spans="1:12" x14ac:dyDescent="0.3">
      <c r="A214" s="11" t="str">
        <f>Tb_Dados[[#This Row],[CÓD]]&amp;Tb_Dados[[#This Row],[PRODUTO]]&amp;Tb_Dados[[#This Row],[MEDIDA]]</f>
        <v>3022COLC SUPREMA D33880X1880X300</v>
      </c>
      <c r="B214" s="12" t="s">
        <v>13</v>
      </c>
      <c r="C214" s="13">
        <v>3022</v>
      </c>
      <c r="D214" s="14" t="s">
        <v>171</v>
      </c>
      <c r="E214" s="13" t="s">
        <v>47</v>
      </c>
      <c r="F214" s="15">
        <v>551.12394474544681</v>
      </c>
      <c r="G214" s="16">
        <v>275.5619723727234</v>
      </c>
      <c r="H214" s="17">
        <f t="shared" si="13"/>
        <v>0.88</v>
      </c>
      <c r="I214" s="17">
        <f t="shared" si="14"/>
        <v>1.88</v>
      </c>
      <c r="J214" s="18">
        <f t="shared" si="15"/>
        <v>0.3</v>
      </c>
      <c r="K214" s="18">
        <f t="shared" si="12"/>
        <v>4.9631999999999996</v>
      </c>
      <c r="L214" s="14" t="s">
        <v>48</v>
      </c>
    </row>
    <row r="215" spans="1:12" x14ac:dyDescent="0.3">
      <c r="A215" s="11" t="str">
        <f>Tb_Dados[[#This Row],[CÓD]]&amp;Tb_Dados[[#This Row],[PRODUTO]]&amp;Tb_Dados[[#This Row],[MEDIDA]]</f>
        <v>3022COLC SUPREMA D331280X1880X300</v>
      </c>
      <c r="B215" s="12" t="s">
        <v>13</v>
      </c>
      <c r="C215" s="13">
        <v>3022</v>
      </c>
      <c r="D215" s="14" t="s">
        <v>171</v>
      </c>
      <c r="E215" s="13" t="s">
        <v>50</v>
      </c>
      <c r="F215" s="15">
        <v>845.58416028304828</v>
      </c>
      <c r="G215" s="16">
        <v>422.79208014152414</v>
      </c>
      <c r="H215" s="17">
        <f t="shared" si="13"/>
        <v>1.28</v>
      </c>
      <c r="I215" s="17">
        <f t="shared" si="14"/>
        <v>1.88</v>
      </c>
      <c r="J215" s="18">
        <f t="shared" si="15"/>
        <v>0.3</v>
      </c>
      <c r="K215" s="18">
        <f t="shared" si="12"/>
        <v>7.2191999999999998</v>
      </c>
      <c r="L215" s="14" t="e">
        <v>#N/A</v>
      </c>
    </row>
    <row r="216" spans="1:12" x14ac:dyDescent="0.3">
      <c r="A216" s="11" t="str">
        <f>Tb_Dados[[#This Row],[CÓD]]&amp;Tb_Dados[[#This Row],[PRODUTO]]&amp;Tb_Dados[[#This Row],[MEDIDA]]</f>
        <v>3022COLC SUPREMA D331380X1880X300</v>
      </c>
      <c r="B216" s="12" t="s">
        <v>13</v>
      </c>
      <c r="C216" s="13">
        <v>3022</v>
      </c>
      <c r="D216" s="14" t="s">
        <v>171</v>
      </c>
      <c r="E216" s="13" t="s">
        <v>53</v>
      </c>
      <c r="F216" s="15">
        <v>845.58416028304828</v>
      </c>
      <c r="G216" s="16">
        <v>422.79208014152414</v>
      </c>
      <c r="H216" s="17">
        <f t="shared" si="13"/>
        <v>1.38</v>
      </c>
      <c r="I216" s="17">
        <f t="shared" si="14"/>
        <v>1.88</v>
      </c>
      <c r="J216" s="18">
        <f t="shared" si="15"/>
        <v>0.3</v>
      </c>
      <c r="K216" s="18">
        <f t="shared" si="12"/>
        <v>7.783199999999999</v>
      </c>
      <c r="L216" s="14" t="s">
        <v>54</v>
      </c>
    </row>
    <row r="217" spans="1:12" x14ac:dyDescent="0.3">
      <c r="A217" s="11" t="str">
        <f>Tb_Dados[[#This Row],[CÓD]]&amp;Tb_Dados[[#This Row],[PRODUTO]]&amp;Tb_Dados[[#This Row],[MEDIDA]]</f>
        <v>3022COLC SUPREMA D331580X1980X300</v>
      </c>
      <c r="B217" s="12" t="s">
        <v>13</v>
      </c>
      <c r="C217" s="13">
        <v>3022</v>
      </c>
      <c r="D217" s="14" t="s">
        <v>171</v>
      </c>
      <c r="E217" s="13" t="s">
        <v>56</v>
      </c>
      <c r="F217" s="15">
        <v>1004.9442701886483</v>
      </c>
      <c r="G217" s="16">
        <v>502.47213509432413</v>
      </c>
      <c r="H217" s="17">
        <f t="shared" si="13"/>
        <v>1.58</v>
      </c>
      <c r="I217" s="17">
        <f t="shared" si="14"/>
        <v>1.98</v>
      </c>
      <c r="J217" s="18">
        <f t="shared" si="15"/>
        <v>0.3</v>
      </c>
      <c r="K217" s="18">
        <f t="shared" si="12"/>
        <v>9.3852000000000011</v>
      </c>
      <c r="L217" s="14" t="s">
        <v>57</v>
      </c>
    </row>
    <row r="218" spans="1:12" x14ac:dyDescent="0.3">
      <c r="A218" s="11" t="str">
        <f>Tb_Dados[[#This Row],[CÓD]]&amp;Tb_Dados[[#This Row],[PRODUTO]]&amp;Tb_Dados[[#This Row],[MEDIDA]]</f>
        <v>3022COLC SUPREMA D331930X2030X300</v>
      </c>
      <c r="B218" s="12" t="s">
        <v>13</v>
      </c>
      <c r="C218" s="13">
        <v>3022</v>
      </c>
      <c r="D218" s="14" t="s">
        <v>171</v>
      </c>
      <c r="E218" s="13" t="s">
        <v>58</v>
      </c>
      <c r="F218" s="15">
        <v>1253.1053916570131</v>
      </c>
      <c r="G218" s="16">
        <v>626.55269582850656</v>
      </c>
      <c r="H218" s="17">
        <f t="shared" si="13"/>
        <v>1.93</v>
      </c>
      <c r="I218" s="17">
        <f t="shared" si="14"/>
        <v>2.0299999999999998</v>
      </c>
      <c r="J218" s="18">
        <f t="shared" si="15"/>
        <v>0.3</v>
      </c>
      <c r="K218" s="18">
        <f t="shared" si="12"/>
        <v>11.753699999999998</v>
      </c>
      <c r="L218" s="14" t="s">
        <v>59</v>
      </c>
    </row>
    <row r="219" spans="1:12" x14ac:dyDescent="0.3">
      <c r="A219" s="11" t="str">
        <f>Tb_Dados[[#This Row],[CÓD]]&amp;Tb_Dados[[#This Row],[PRODUTO]]&amp;Tb_Dados[[#This Row],[MEDIDA]]</f>
        <v>6423BOX SUEDE TERRA880X1880X250</v>
      </c>
      <c r="B219" s="12" t="s">
        <v>13</v>
      </c>
      <c r="C219" s="13">
        <v>6423</v>
      </c>
      <c r="D219" s="14" t="s">
        <v>133</v>
      </c>
      <c r="E219" s="13" t="s">
        <v>31</v>
      </c>
      <c r="F219" s="15">
        <v>185.13636451733728</v>
      </c>
      <c r="G219" s="16">
        <v>92.568182258668642</v>
      </c>
      <c r="H219" s="17">
        <f t="shared" si="13"/>
        <v>0.88</v>
      </c>
      <c r="I219" s="17">
        <f t="shared" si="14"/>
        <v>1.88</v>
      </c>
      <c r="J219" s="18">
        <f t="shared" si="15"/>
        <v>0.25</v>
      </c>
      <c r="K219" s="18">
        <f t="shared" si="12"/>
        <v>4.1359999999999992</v>
      </c>
      <c r="L219" s="14" t="s">
        <v>32</v>
      </c>
    </row>
    <row r="220" spans="1:12" x14ac:dyDescent="0.3">
      <c r="A220" s="11" t="str">
        <f>Tb_Dados[[#This Row],[CÓD]]&amp;Tb_Dados[[#This Row],[PRODUTO]]&amp;Tb_Dados[[#This Row],[MEDIDA]]</f>
        <v>6423BOX SUEDE TERRA1380X1880X250</v>
      </c>
      <c r="B220" s="12" t="s">
        <v>13</v>
      </c>
      <c r="C220" s="13">
        <v>6423</v>
      </c>
      <c r="D220" s="14" t="s">
        <v>133</v>
      </c>
      <c r="E220" s="13" t="s">
        <v>37</v>
      </c>
      <c r="F220" s="15">
        <v>250.9406385277868</v>
      </c>
      <c r="G220" s="16">
        <v>125.4703192638934</v>
      </c>
      <c r="H220" s="17">
        <f t="shared" si="13"/>
        <v>1.38</v>
      </c>
      <c r="I220" s="17">
        <f t="shared" si="14"/>
        <v>1.88</v>
      </c>
      <c r="J220" s="18">
        <f t="shared" si="15"/>
        <v>0.25</v>
      </c>
      <c r="K220" s="18">
        <f t="shared" si="12"/>
        <v>6.4859999999999998</v>
      </c>
      <c r="L220" s="14" t="s">
        <v>38</v>
      </c>
    </row>
    <row r="221" spans="1:12" x14ac:dyDescent="0.3">
      <c r="A221" s="11" t="str">
        <f>Tb_Dados[[#This Row],[CÓD]]&amp;Tb_Dados[[#This Row],[PRODUTO]]&amp;Tb_Dados[[#This Row],[MEDIDA]]</f>
        <v>6425BOX BIPARTIDO SUEDE TERRA1580X1980X250</v>
      </c>
      <c r="B221" s="12" t="s">
        <v>13</v>
      </c>
      <c r="C221" s="13">
        <v>6425</v>
      </c>
      <c r="D221" s="14" t="s">
        <v>80</v>
      </c>
      <c r="E221" s="13" t="s">
        <v>41</v>
      </c>
      <c r="F221" s="15">
        <v>386.58489407989487</v>
      </c>
      <c r="G221" s="16">
        <v>96.646223519973717</v>
      </c>
      <c r="H221" s="17">
        <f t="shared" si="13"/>
        <v>1.58</v>
      </c>
      <c r="I221" s="17">
        <f t="shared" si="14"/>
        <v>1.98</v>
      </c>
      <c r="J221" s="18">
        <f t="shared" si="15"/>
        <v>0.25</v>
      </c>
      <c r="K221" s="18">
        <f t="shared" si="12"/>
        <v>7.8209999999999997</v>
      </c>
      <c r="L221" s="14" t="s">
        <v>42</v>
      </c>
    </row>
    <row r="222" spans="1:12" x14ac:dyDescent="0.3">
      <c r="A222" s="11" t="str">
        <f>Tb_Dados[[#This Row],[CÓD]]&amp;Tb_Dados[[#This Row],[PRODUTO]]&amp;Tb_Dados[[#This Row],[MEDIDA]]</f>
        <v>6425BOX BIPARTIDO SUEDE TERRA1930X2030X250</v>
      </c>
      <c r="B222" s="12" t="s">
        <v>13</v>
      </c>
      <c r="C222" s="13">
        <v>6425</v>
      </c>
      <c r="D222" s="14" t="s">
        <v>80</v>
      </c>
      <c r="E222" s="13" t="s">
        <v>44</v>
      </c>
      <c r="F222" s="15">
        <v>441.09161921256629</v>
      </c>
      <c r="G222" s="16">
        <v>110.27290480314157</v>
      </c>
      <c r="H222" s="17">
        <f t="shared" si="13"/>
        <v>1.93</v>
      </c>
      <c r="I222" s="17">
        <f t="shared" si="14"/>
        <v>2.0299999999999998</v>
      </c>
      <c r="J222" s="18">
        <f t="shared" si="15"/>
        <v>0.25</v>
      </c>
      <c r="K222" s="18">
        <f t="shared" si="12"/>
        <v>9.7947499999999987</v>
      </c>
      <c r="L222" s="14" t="s">
        <v>45</v>
      </c>
    </row>
    <row r="223" spans="1:12" x14ac:dyDescent="0.3">
      <c r="A223" s="11" t="str">
        <f>Tb_Dados[[#This Row],[CÓD]]&amp;Tb_Dados[[#This Row],[PRODUTO]]&amp;Tb_Dados[[#This Row],[MEDIDA]]</f>
        <v>6423BOX SUEDE TERRA880X1880X300</v>
      </c>
      <c r="B223" s="12" t="s">
        <v>13</v>
      </c>
      <c r="C223" s="13">
        <v>6423</v>
      </c>
      <c r="D223" s="14" t="s">
        <v>133</v>
      </c>
      <c r="E223" s="13" t="s">
        <v>47</v>
      </c>
      <c r="F223" s="15">
        <v>203.25735704168747</v>
      </c>
      <c r="G223" s="16">
        <v>101.62867852084374</v>
      </c>
      <c r="H223" s="17">
        <f t="shared" si="13"/>
        <v>0.88</v>
      </c>
      <c r="I223" s="17">
        <f t="shared" si="14"/>
        <v>1.88</v>
      </c>
      <c r="J223" s="18">
        <f t="shared" si="15"/>
        <v>0.3</v>
      </c>
      <c r="K223" s="18">
        <f t="shared" si="12"/>
        <v>4.9631999999999996</v>
      </c>
      <c r="L223" s="14" t="s">
        <v>48</v>
      </c>
    </row>
    <row r="224" spans="1:12" x14ac:dyDescent="0.3">
      <c r="A224" s="11" t="str">
        <f>Tb_Dados[[#This Row],[CÓD]]&amp;Tb_Dados[[#This Row],[PRODUTO]]&amp;Tb_Dados[[#This Row],[MEDIDA]]</f>
        <v>6423BOX SUEDE TERRA1380X1880X300</v>
      </c>
      <c r="B224" s="12" t="s">
        <v>13</v>
      </c>
      <c r="C224" s="13">
        <v>6423</v>
      </c>
      <c r="D224" s="14" t="s">
        <v>133</v>
      </c>
      <c r="E224" s="13" t="s">
        <v>53</v>
      </c>
      <c r="F224" s="15">
        <v>260.97411018069471</v>
      </c>
      <c r="G224" s="16">
        <v>130.48705509034735</v>
      </c>
      <c r="H224" s="17">
        <f t="shared" si="13"/>
        <v>1.38</v>
      </c>
      <c r="I224" s="17">
        <f t="shared" si="14"/>
        <v>1.88</v>
      </c>
      <c r="J224" s="18">
        <f t="shared" si="15"/>
        <v>0.3</v>
      </c>
      <c r="K224" s="18">
        <f t="shared" si="12"/>
        <v>7.783199999999999</v>
      </c>
      <c r="L224" s="14" t="s">
        <v>54</v>
      </c>
    </row>
    <row r="225" spans="1:12" x14ac:dyDescent="0.3">
      <c r="A225" s="11" t="str">
        <f>Tb_Dados[[#This Row],[CÓD]]&amp;Tb_Dados[[#This Row],[PRODUTO]]&amp;Tb_Dados[[#This Row],[MEDIDA]]</f>
        <v>6425BOX BIPARTIDO SUEDE TERRA1580X1980X300</v>
      </c>
      <c r="B225" s="12" t="s">
        <v>13</v>
      </c>
      <c r="C225" s="13">
        <v>6425</v>
      </c>
      <c r="D225" s="14" t="s">
        <v>80</v>
      </c>
      <c r="E225" s="13" t="s">
        <v>56</v>
      </c>
      <c r="F225" s="15">
        <v>404.64290313937499</v>
      </c>
      <c r="G225" s="16">
        <v>101.16072578484375</v>
      </c>
      <c r="H225" s="17">
        <f t="shared" si="13"/>
        <v>1.58</v>
      </c>
      <c r="I225" s="17">
        <f t="shared" si="14"/>
        <v>1.98</v>
      </c>
      <c r="J225" s="18">
        <f t="shared" si="15"/>
        <v>0.3</v>
      </c>
      <c r="K225" s="18">
        <f t="shared" si="12"/>
        <v>9.3852000000000011</v>
      </c>
      <c r="L225" s="14" t="s">
        <v>57</v>
      </c>
    </row>
    <row r="226" spans="1:12" x14ac:dyDescent="0.3">
      <c r="A226" s="11" t="str">
        <f>Tb_Dados[[#This Row],[CÓD]]&amp;Tb_Dados[[#This Row],[PRODUTO]]&amp;Tb_Dados[[#This Row],[MEDIDA]]</f>
        <v>6425BOX BIPARTIDO SUEDE TERRA1930X2030X300</v>
      </c>
      <c r="B226" s="12" t="s">
        <v>13</v>
      </c>
      <c r="C226" s="13">
        <v>6425</v>
      </c>
      <c r="D226" s="14" t="s">
        <v>80</v>
      </c>
      <c r="E226" s="13" t="s">
        <v>58</v>
      </c>
      <c r="F226" s="15">
        <v>450.91380197058083</v>
      </c>
      <c r="G226" s="16">
        <v>112.72845049264521</v>
      </c>
      <c r="H226" s="17">
        <f t="shared" si="13"/>
        <v>1.93</v>
      </c>
      <c r="I226" s="17">
        <f t="shared" si="14"/>
        <v>2.0299999999999998</v>
      </c>
      <c r="J226" s="18">
        <f t="shared" si="15"/>
        <v>0.3</v>
      </c>
      <c r="K226" s="18">
        <f t="shared" si="12"/>
        <v>11.753699999999998</v>
      </c>
      <c r="L226" s="14" t="s">
        <v>59</v>
      </c>
    </row>
    <row r="227" spans="1:12" x14ac:dyDescent="0.3">
      <c r="A227" s="11" t="str">
        <f>Tb_Dados[[#This Row],[CÓD]]&amp;Tb_Dados[[#This Row],[PRODUTO]]&amp;Tb_Dados[[#This Row],[MEDIDA]]</f>
        <v>2899BOX COM AUXÍLIO SUEDE TERRA880X1880X300</v>
      </c>
      <c r="B227" s="12" t="s">
        <v>13</v>
      </c>
      <c r="C227" s="13">
        <v>2899</v>
      </c>
      <c r="D227" s="14" t="s">
        <v>103</v>
      </c>
      <c r="E227" s="13" t="s">
        <v>47</v>
      </c>
      <c r="F227" s="15">
        <v>444.63665600111153</v>
      </c>
      <c r="G227" s="16">
        <v>222.31832800055577</v>
      </c>
      <c r="H227" s="17">
        <f t="shared" si="13"/>
        <v>0.88</v>
      </c>
      <c r="I227" s="17">
        <f t="shared" si="14"/>
        <v>1.88</v>
      </c>
      <c r="J227" s="18">
        <f t="shared" si="15"/>
        <v>0.3</v>
      </c>
      <c r="K227" s="18">
        <f t="shared" si="12"/>
        <v>4.9631999999999996</v>
      </c>
      <c r="L227" s="22" t="s">
        <v>253</v>
      </c>
    </row>
    <row r="228" spans="1:12" x14ac:dyDescent="0.3">
      <c r="A228" s="11" t="str">
        <f>Tb_Dados[[#This Row],[CÓD]]&amp;Tb_Dados[[#This Row],[PRODUTO]]&amp;Tb_Dados[[#This Row],[MEDIDA]]</f>
        <v>2935BOX SUEDE PRETO880X1880X250</v>
      </c>
      <c r="B228" s="12" t="s">
        <v>13</v>
      </c>
      <c r="C228" s="13">
        <v>2935</v>
      </c>
      <c r="D228" s="14" t="s">
        <v>132</v>
      </c>
      <c r="E228" s="13" t="s">
        <v>31</v>
      </c>
      <c r="F228" s="15">
        <v>184.90950897809032</v>
      </c>
      <c r="G228" s="16">
        <v>92.454754489045158</v>
      </c>
      <c r="H228" s="17">
        <f t="shared" si="13"/>
        <v>0.88</v>
      </c>
      <c r="I228" s="17">
        <f t="shared" si="14"/>
        <v>1.88</v>
      </c>
      <c r="J228" s="18">
        <f t="shared" si="15"/>
        <v>0.25</v>
      </c>
      <c r="K228" s="18">
        <f t="shared" si="12"/>
        <v>4.1359999999999992</v>
      </c>
      <c r="L228" s="14" t="s">
        <v>32</v>
      </c>
    </row>
    <row r="229" spans="1:12" x14ac:dyDescent="0.3">
      <c r="A229" s="11" t="str">
        <f>Tb_Dados[[#This Row],[CÓD]]&amp;Tb_Dados[[#This Row],[PRODUTO]]&amp;Tb_Dados[[#This Row],[MEDIDA]]</f>
        <v>2935BOX SUEDE PRETO1380X1880X250</v>
      </c>
      <c r="B229" s="12" t="s">
        <v>13</v>
      </c>
      <c r="C229" s="13">
        <v>2935</v>
      </c>
      <c r="D229" s="14" t="s">
        <v>132</v>
      </c>
      <c r="E229" s="13" t="s">
        <v>37</v>
      </c>
      <c r="F229" s="15">
        <v>240.17202570917789</v>
      </c>
      <c r="G229" s="16">
        <v>120.08601285458894</v>
      </c>
      <c r="H229" s="17">
        <f t="shared" si="13"/>
        <v>1.38</v>
      </c>
      <c r="I229" s="17">
        <f t="shared" si="14"/>
        <v>1.88</v>
      </c>
      <c r="J229" s="18">
        <f t="shared" si="15"/>
        <v>0.25</v>
      </c>
      <c r="K229" s="18">
        <f t="shared" si="12"/>
        <v>6.4859999999999998</v>
      </c>
      <c r="L229" s="14" t="s">
        <v>38</v>
      </c>
    </row>
    <row r="230" spans="1:12" x14ac:dyDescent="0.3">
      <c r="A230" s="11" t="str">
        <f>Tb_Dados[[#This Row],[CÓD]]&amp;Tb_Dados[[#This Row],[PRODUTO]]&amp;Tb_Dados[[#This Row],[MEDIDA]]</f>
        <v>3478BOX BIPARTIDO SUEDE PRETO1580X1980X250</v>
      </c>
      <c r="B230" s="12" t="s">
        <v>13</v>
      </c>
      <c r="C230" s="13">
        <v>3478</v>
      </c>
      <c r="D230" s="14" t="s">
        <v>79</v>
      </c>
      <c r="E230" s="13" t="s">
        <v>41</v>
      </c>
      <c r="F230" s="15">
        <v>367.94720701218057</v>
      </c>
      <c r="G230" s="16">
        <v>91.986801753045143</v>
      </c>
      <c r="H230" s="17">
        <f t="shared" si="13"/>
        <v>1.58</v>
      </c>
      <c r="I230" s="17">
        <f t="shared" si="14"/>
        <v>1.98</v>
      </c>
      <c r="J230" s="18">
        <f t="shared" si="15"/>
        <v>0.25</v>
      </c>
      <c r="K230" s="18">
        <f t="shared" si="12"/>
        <v>7.8209999999999997</v>
      </c>
      <c r="L230" s="14" t="s">
        <v>42</v>
      </c>
    </row>
    <row r="231" spans="1:12" x14ac:dyDescent="0.3">
      <c r="A231" s="11" t="str">
        <f>Tb_Dados[[#This Row],[CÓD]]&amp;Tb_Dados[[#This Row],[PRODUTO]]&amp;Tb_Dados[[#This Row],[MEDIDA]]</f>
        <v>3478BOX BIPARTIDO SUEDE PRETO1930X2030X250</v>
      </c>
      <c r="B231" s="12" t="s">
        <v>13</v>
      </c>
      <c r="C231" s="13">
        <v>3478</v>
      </c>
      <c r="D231" s="14" t="s">
        <v>79</v>
      </c>
      <c r="E231" s="13" t="s">
        <v>44</v>
      </c>
      <c r="F231" s="15">
        <v>413.28787671705066</v>
      </c>
      <c r="G231" s="16">
        <v>103.32196917926267</v>
      </c>
      <c r="H231" s="17">
        <f t="shared" si="13"/>
        <v>1.93</v>
      </c>
      <c r="I231" s="17">
        <f t="shared" si="14"/>
        <v>2.0299999999999998</v>
      </c>
      <c r="J231" s="18">
        <f t="shared" si="15"/>
        <v>0.25</v>
      </c>
      <c r="K231" s="18">
        <f t="shared" si="12"/>
        <v>9.7947499999999987</v>
      </c>
      <c r="L231" s="14" t="s">
        <v>45</v>
      </c>
    </row>
    <row r="232" spans="1:12" x14ac:dyDescent="0.3">
      <c r="A232" s="11" t="str">
        <f>Tb_Dados[[#This Row],[CÓD]]&amp;Tb_Dados[[#This Row],[PRODUTO]]&amp;Tb_Dados[[#This Row],[MEDIDA]]</f>
        <v>2935BOX SUEDE PRETO880X1880X300</v>
      </c>
      <c r="B232" s="12" t="s">
        <v>13</v>
      </c>
      <c r="C232" s="13">
        <v>2935</v>
      </c>
      <c r="D232" s="14" t="s">
        <v>132</v>
      </c>
      <c r="E232" s="13" t="s">
        <v>47</v>
      </c>
      <c r="F232" s="15">
        <v>192.12011590890833</v>
      </c>
      <c r="G232" s="16">
        <v>96.060057954454166</v>
      </c>
      <c r="H232" s="17">
        <f t="shared" si="13"/>
        <v>0.88</v>
      </c>
      <c r="I232" s="17">
        <f t="shared" si="14"/>
        <v>1.88</v>
      </c>
      <c r="J232" s="18">
        <f t="shared" si="15"/>
        <v>0.3</v>
      </c>
      <c r="K232" s="18">
        <f t="shared" si="12"/>
        <v>4.9631999999999996</v>
      </c>
      <c r="L232" s="14" t="s">
        <v>48</v>
      </c>
    </row>
    <row r="233" spans="1:12" x14ac:dyDescent="0.3">
      <c r="A233" s="11" t="str">
        <f>Tb_Dados[[#This Row],[CÓD]]&amp;Tb_Dados[[#This Row],[PRODUTO]]&amp;Tb_Dados[[#This Row],[MEDIDA]]</f>
        <v>2935BOX SUEDE PRETO1380X1880X300</v>
      </c>
      <c r="B233" s="12" t="s">
        <v>13</v>
      </c>
      <c r="C233" s="13">
        <v>2935</v>
      </c>
      <c r="D233" s="14" t="s">
        <v>132</v>
      </c>
      <c r="E233" s="13" t="s">
        <v>53</v>
      </c>
      <c r="F233" s="15">
        <v>248.06238590621348</v>
      </c>
      <c r="G233" s="16">
        <v>124.03119295310674</v>
      </c>
      <c r="H233" s="17">
        <f t="shared" si="13"/>
        <v>1.38</v>
      </c>
      <c r="I233" s="17">
        <f t="shared" si="14"/>
        <v>1.88</v>
      </c>
      <c r="J233" s="18">
        <f t="shared" si="15"/>
        <v>0.3</v>
      </c>
      <c r="K233" s="18">
        <f t="shared" si="12"/>
        <v>7.783199999999999</v>
      </c>
      <c r="L233" s="14" t="s">
        <v>54</v>
      </c>
    </row>
    <row r="234" spans="1:12" x14ac:dyDescent="0.3">
      <c r="A234" s="11" t="str">
        <f>Tb_Dados[[#This Row],[CÓD]]&amp;Tb_Dados[[#This Row],[PRODUTO]]&amp;Tb_Dados[[#This Row],[MEDIDA]]</f>
        <v>3478BOX BIPARTIDO SUEDE PRETO1580X1980X300</v>
      </c>
      <c r="B234" s="12" t="s">
        <v>13</v>
      </c>
      <c r="C234" s="13">
        <v>3478</v>
      </c>
      <c r="D234" s="14" t="s">
        <v>79</v>
      </c>
      <c r="E234" s="13" t="s">
        <v>56</v>
      </c>
      <c r="F234" s="15">
        <v>382.36842087381672</v>
      </c>
      <c r="G234" s="16">
        <v>95.592105218454179</v>
      </c>
      <c r="H234" s="17">
        <f t="shared" si="13"/>
        <v>1.58</v>
      </c>
      <c r="I234" s="17">
        <f t="shared" si="14"/>
        <v>1.98</v>
      </c>
      <c r="J234" s="18">
        <f t="shared" si="15"/>
        <v>0.3</v>
      </c>
      <c r="K234" s="18">
        <f t="shared" si="12"/>
        <v>9.3852000000000011</v>
      </c>
      <c r="L234" s="14" t="s">
        <v>57</v>
      </c>
    </row>
    <row r="235" spans="1:12" x14ac:dyDescent="0.3">
      <c r="A235" s="11" t="str">
        <f>Tb_Dados[[#This Row],[CÓD]]&amp;Tb_Dados[[#This Row],[PRODUTO]]&amp;Tb_Dados[[#This Row],[MEDIDA]]</f>
        <v>3478BOX BIPARTIDO SUEDE PRETO1930X2030X300</v>
      </c>
      <c r="B235" s="12" t="s">
        <v>13</v>
      </c>
      <c r="C235" s="13">
        <v>3478</v>
      </c>
      <c r="D235" s="14" t="s">
        <v>79</v>
      </c>
      <c r="E235" s="13" t="s">
        <v>58</v>
      </c>
      <c r="F235" s="15">
        <v>427.24349319166083</v>
      </c>
      <c r="G235" s="16">
        <v>106.81087329791521</v>
      </c>
      <c r="H235" s="17">
        <f t="shared" si="13"/>
        <v>1.93</v>
      </c>
      <c r="I235" s="17">
        <f t="shared" si="14"/>
        <v>2.0299999999999998</v>
      </c>
      <c r="J235" s="18">
        <f t="shared" si="15"/>
        <v>0.3</v>
      </c>
      <c r="K235" s="18">
        <f t="shared" si="12"/>
        <v>11.753699999999998</v>
      </c>
      <c r="L235" s="14" t="s">
        <v>59</v>
      </c>
    </row>
    <row r="236" spans="1:12" x14ac:dyDescent="0.3">
      <c r="A236" s="11" t="str">
        <f>Tb_Dados[[#This Row],[CÓD]]&amp;Tb_Dados[[#This Row],[PRODUTO]]&amp;Tb_Dados[[#This Row],[MEDIDA]]</f>
        <v>2899BOX COM AUXÍLIO SUEDE PRETO880X1880X300</v>
      </c>
      <c r="B236" s="12" t="s">
        <v>13</v>
      </c>
      <c r="C236" s="13">
        <v>2899</v>
      </c>
      <c r="D236" s="14" t="s">
        <v>100</v>
      </c>
      <c r="E236" s="13" t="s">
        <v>47</v>
      </c>
      <c r="F236" s="15">
        <v>425.14300078885822</v>
      </c>
      <c r="G236" s="16">
        <v>212.57150039442911</v>
      </c>
      <c r="H236" s="17">
        <f t="shared" si="13"/>
        <v>0.88</v>
      </c>
      <c r="I236" s="17">
        <f t="shared" si="14"/>
        <v>1.88</v>
      </c>
      <c r="J236" s="18">
        <f t="shared" si="15"/>
        <v>0.3</v>
      </c>
      <c r="K236" s="18">
        <f t="shared" si="12"/>
        <v>4.9631999999999996</v>
      </c>
      <c r="L236" s="22" t="s">
        <v>254</v>
      </c>
    </row>
    <row r="237" spans="1:12" x14ac:dyDescent="0.3">
      <c r="A237" s="11" t="str">
        <f>Tb_Dados[[#This Row],[CÓD]]&amp;Tb_Dados[[#This Row],[PRODUTO]]&amp;Tb_Dados[[#This Row],[MEDIDA]]</f>
        <v>3371COLC ROBUST D33780X1880X170</v>
      </c>
      <c r="B237" s="12" t="s">
        <v>13</v>
      </c>
      <c r="C237" s="13">
        <v>3371</v>
      </c>
      <c r="D237" s="14" t="s">
        <v>165</v>
      </c>
      <c r="E237" s="13" t="s">
        <v>237</v>
      </c>
      <c r="F237" s="15">
        <v>219.79045155764311</v>
      </c>
      <c r="G237" s="16">
        <v>109.89522577882155</v>
      </c>
      <c r="H237" s="17">
        <f t="shared" si="13"/>
        <v>0.78</v>
      </c>
      <c r="I237" s="17">
        <f t="shared" si="14"/>
        <v>1.88</v>
      </c>
      <c r="J237" s="18">
        <f t="shared" si="15"/>
        <v>0.17</v>
      </c>
      <c r="K237" s="18">
        <f t="shared" si="12"/>
        <v>2.49288</v>
      </c>
      <c r="L237" s="14" t="s">
        <v>238</v>
      </c>
    </row>
    <row r="238" spans="1:12" x14ac:dyDescent="0.3">
      <c r="A238" s="11" t="str">
        <f>Tb_Dados[[#This Row],[CÓD]]&amp;Tb_Dados[[#This Row],[PRODUTO]]&amp;Tb_Dados[[#This Row],[MEDIDA]]</f>
        <v>3371COLC ROBUST D33880X1880X170</v>
      </c>
      <c r="B238" s="12" t="s">
        <v>13</v>
      </c>
      <c r="C238" s="13">
        <v>3371</v>
      </c>
      <c r="D238" s="14" t="s">
        <v>165</v>
      </c>
      <c r="E238" s="13" t="s">
        <v>239</v>
      </c>
      <c r="F238" s="15">
        <v>246.52070770022235</v>
      </c>
      <c r="G238" s="16">
        <v>123.26035385011117</v>
      </c>
      <c r="H238" s="17">
        <f t="shared" si="13"/>
        <v>0.88</v>
      </c>
      <c r="I238" s="17">
        <f t="shared" si="14"/>
        <v>1.88</v>
      </c>
      <c r="J238" s="18">
        <f t="shared" si="15"/>
        <v>0.17</v>
      </c>
      <c r="K238" s="18">
        <f t="shared" si="12"/>
        <v>2.8124799999999999</v>
      </c>
      <c r="L238" s="14" t="s">
        <v>240</v>
      </c>
    </row>
    <row r="239" spans="1:12" x14ac:dyDescent="0.3">
      <c r="A239" s="11" t="str">
        <f>Tb_Dados[[#This Row],[CÓD]]&amp;Tb_Dados[[#This Row],[PRODUTO]]&amp;Tb_Dados[[#This Row],[MEDIDA]]</f>
        <v>3371COLC ROBUST D331000X2000X170</v>
      </c>
      <c r="B239" s="12" t="s">
        <v>13</v>
      </c>
      <c r="C239" s="13">
        <v>3371</v>
      </c>
      <c r="D239" s="14" t="s">
        <v>165</v>
      </c>
      <c r="E239" s="13" t="s">
        <v>241</v>
      </c>
      <c r="F239" s="15">
        <v>310.22218198887469</v>
      </c>
      <c r="G239" s="16">
        <v>155.11109099443735</v>
      </c>
      <c r="H239" s="17">
        <f t="shared" si="13"/>
        <v>1</v>
      </c>
      <c r="I239" s="17">
        <f t="shared" si="14"/>
        <v>2</v>
      </c>
      <c r="J239" s="18">
        <f t="shared" si="15"/>
        <v>0.17</v>
      </c>
      <c r="K239" s="18">
        <f t="shared" si="12"/>
        <v>3.4000000000000004</v>
      </c>
      <c r="L239" s="14" t="s">
        <v>242</v>
      </c>
    </row>
    <row r="240" spans="1:12" x14ac:dyDescent="0.3">
      <c r="A240" s="11" t="str">
        <f>Tb_Dados[[#This Row],[CÓD]]&amp;Tb_Dados[[#This Row],[PRODUTO]]&amp;Tb_Dados[[#This Row],[MEDIDA]]</f>
        <v>3371COLC ROBUST D331280X1880X170</v>
      </c>
      <c r="B240" s="12" t="s">
        <v>13</v>
      </c>
      <c r="C240" s="13">
        <v>3371</v>
      </c>
      <c r="D240" s="14" t="s">
        <v>165</v>
      </c>
      <c r="E240" s="13" t="s">
        <v>243</v>
      </c>
      <c r="F240" s="15">
        <v>390.65920220053135</v>
      </c>
      <c r="G240" s="16">
        <v>195.32960110026568</v>
      </c>
      <c r="H240" s="17">
        <f t="shared" si="13"/>
        <v>1.28</v>
      </c>
      <c r="I240" s="17">
        <f t="shared" si="14"/>
        <v>1.88</v>
      </c>
      <c r="J240" s="18">
        <f t="shared" si="15"/>
        <v>0.17</v>
      </c>
      <c r="K240" s="18">
        <f t="shared" si="12"/>
        <v>4.0908800000000003</v>
      </c>
      <c r="L240" s="14" t="s">
        <v>244</v>
      </c>
    </row>
    <row r="241" spans="1:12" x14ac:dyDescent="0.3">
      <c r="A241" s="11" t="str">
        <f>Tb_Dados[[#This Row],[CÓD]]&amp;Tb_Dados[[#This Row],[PRODUTO]]&amp;Tb_Dados[[#This Row],[MEDIDA]]</f>
        <v>3371COLC ROBUST D331380X1880X170</v>
      </c>
      <c r="B241" s="12" t="s">
        <v>13</v>
      </c>
      <c r="C241" s="13">
        <v>3371</v>
      </c>
      <c r="D241" s="14" t="s">
        <v>165</v>
      </c>
      <c r="E241" s="13" t="s">
        <v>245</v>
      </c>
      <c r="F241" s="15">
        <v>390.65920220053135</v>
      </c>
      <c r="G241" s="16">
        <v>195.32960110026568</v>
      </c>
      <c r="H241" s="17">
        <f t="shared" si="13"/>
        <v>1.38</v>
      </c>
      <c r="I241" s="17">
        <f t="shared" si="14"/>
        <v>1.88</v>
      </c>
      <c r="J241" s="18">
        <f t="shared" si="15"/>
        <v>0.17</v>
      </c>
      <c r="K241" s="18">
        <f t="shared" si="12"/>
        <v>4.4104799999999997</v>
      </c>
      <c r="L241" s="14" t="s">
        <v>246</v>
      </c>
    </row>
    <row r="242" spans="1:12" x14ac:dyDescent="0.3">
      <c r="A242" s="11" t="str">
        <f>Tb_Dados[[#This Row],[CÓD]]&amp;Tb_Dados[[#This Row],[PRODUTO]]&amp;Tb_Dados[[#This Row],[MEDIDA]]</f>
        <v>3371COLC ROBUST D33780X1880X200</v>
      </c>
      <c r="B242" s="12" t="s">
        <v>13</v>
      </c>
      <c r="C242" s="13">
        <v>3371</v>
      </c>
      <c r="D242" s="14" t="s">
        <v>165</v>
      </c>
      <c r="E242" s="13" t="s">
        <v>247</v>
      </c>
      <c r="F242" s="15">
        <v>253.93972379888368</v>
      </c>
      <c r="G242" s="16">
        <v>126.96986189944184</v>
      </c>
      <c r="H242" s="17">
        <f t="shared" si="13"/>
        <v>0.78</v>
      </c>
      <c r="I242" s="17">
        <f t="shared" si="14"/>
        <v>1.88</v>
      </c>
      <c r="J242" s="18">
        <f t="shared" si="15"/>
        <v>0.2</v>
      </c>
      <c r="K242" s="18">
        <f t="shared" si="12"/>
        <v>2.9327999999999999</v>
      </c>
      <c r="L242" s="14" t="s">
        <v>248</v>
      </c>
    </row>
    <row r="243" spans="1:12" x14ac:dyDescent="0.3">
      <c r="A243" s="11" t="str">
        <f>Tb_Dados[[#This Row],[CÓD]]&amp;Tb_Dados[[#This Row],[PRODUTO]]&amp;Tb_Dados[[#This Row],[MEDIDA]]</f>
        <v>3371COLC ROBUST D33880X1880X200</v>
      </c>
      <c r="B243" s="12" t="s">
        <v>13</v>
      </c>
      <c r="C243" s="13">
        <v>3371</v>
      </c>
      <c r="D243" s="14" t="s">
        <v>165</v>
      </c>
      <c r="E243" s="13" t="s">
        <v>208</v>
      </c>
      <c r="F243" s="15">
        <v>285.04654449552675</v>
      </c>
      <c r="G243" s="16">
        <v>142.52327224776337</v>
      </c>
      <c r="H243" s="17">
        <f t="shared" si="13"/>
        <v>0.88</v>
      </c>
      <c r="I243" s="17">
        <f t="shared" si="14"/>
        <v>1.88</v>
      </c>
      <c r="J243" s="18">
        <f t="shared" si="15"/>
        <v>0.2</v>
      </c>
      <c r="K243" s="18">
        <f t="shared" si="12"/>
        <v>3.3088000000000002</v>
      </c>
      <c r="L243" s="14" t="s">
        <v>209</v>
      </c>
    </row>
    <row r="244" spans="1:12" x14ac:dyDescent="0.3">
      <c r="A244" s="11" t="str">
        <f>Tb_Dados[[#This Row],[CÓD]]&amp;Tb_Dados[[#This Row],[PRODUTO]]&amp;Tb_Dados[[#This Row],[MEDIDA]]</f>
        <v>3371COLC ROBUST D331000X2000X200</v>
      </c>
      <c r="B244" s="12" t="s">
        <v>13</v>
      </c>
      <c r="C244" s="13">
        <v>3371</v>
      </c>
      <c r="D244" s="14" t="s">
        <v>165</v>
      </c>
      <c r="E244" s="13" t="s">
        <v>210</v>
      </c>
      <c r="F244" s="15">
        <v>357.32167255653246</v>
      </c>
      <c r="G244" s="16">
        <v>178.66083627826623</v>
      </c>
      <c r="H244" s="17">
        <f t="shared" si="13"/>
        <v>1</v>
      </c>
      <c r="I244" s="17">
        <f t="shared" si="14"/>
        <v>2</v>
      </c>
      <c r="J244" s="18">
        <f t="shared" si="15"/>
        <v>0.2</v>
      </c>
      <c r="K244" s="18">
        <f t="shared" si="12"/>
        <v>4</v>
      </c>
      <c r="L244" s="14" t="s">
        <v>211</v>
      </c>
    </row>
    <row r="245" spans="1:12" x14ac:dyDescent="0.3">
      <c r="A245" s="11" t="str">
        <f>Tb_Dados[[#This Row],[CÓD]]&amp;Tb_Dados[[#This Row],[PRODUTO]]&amp;Tb_Dados[[#This Row],[MEDIDA]]</f>
        <v>3371COLC ROBUST D331280X1880X200</v>
      </c>
      <c r="B245" s="12" t="s">
        <v>13</v>
      </c>
      <c r="C245" s="13">
        <v>3371</v>
      </c>
      <c r="D245" s="14" t="s">
        <v>165</v>
      </c>
      <c r="E245" s="13" t="s">
        <v>212</v>
      </c>
      <c r="F245" s="15">
        <v>468.40046977349215</v>
      </c>
      <c r="G245" s="16">
        <v>234.20023488674607</v>
      </c>
      <c r="H245" s="17">
        <f t="shared" si="13"/>
        <v>1.28</v>
      </c>
      <c r="I245" s="17">
        <f t="shared" si="14"/>
        <v>1.88</v>
      </c>
      <c r="J245" s="18">
        <f t="shared" si="15"/>
        <v>0.2</v>
      </c>
      <c r="K245" s="18">
        <f t="shared" si="12"/>
        <v>4.8128000000000002</v>
      </c>
      <c r="L245" s="14" t="s">
        <v>213</v>
      </c>
    </row>
    <row r="246" spans="1:12" x14ac:dyDescent="0.3">
      <c r="A246" s="11" t="str">
        <f>Tb_Dados[[#This Row],[CÓD]]&amp;Tb_Dados[[#This Row],[PRODUTO]]&amp;Tb_Dados[[#This Row],[MEDIDA]]</f>
        <v>3371COLC ROBUST D331380X1880X200</v>
      </c>
      <c r="B246" s="12" t="s">
        <v>13</v>
      </c>
      <c r="C246" s="13">
        <v>3371</v>
      </c>
      <c r="D246" s="14" t="s">
        <v>165</v>
      </c>
      <c r="E246" s="13" t="s">
        <v>214</v>
      </c>
      <c r="F246" s="15">
        <v>468.40046977349215</v>
      </c>
      <c r="G246" s="16">
        <v>234.20023488674607</v>
      </c>
      <c r="H246" s="17">
        <f t="shared" si="13"/>
        <v>1.38</v>
      </c>
      <c r="I246" s="17">
        <f t="shared" si="14"/>
        <v>1.88</v>
      </c>
      <c r="J246" s="18">
        <f t="shared" si="15"/>
        <v>0.2</v>
      </c>
      <c r="K246" s="18">
        <f t="shared" si="12"/>
        <v>5.1888000000000005</v>
      </c>
      <c r="L246" s="14" t="s">
        <v>215</v>
      </c>
    </row>
    <row r="247" spans="1:12" x14ac:dyDescent="0.3">
      <c r="A247" s="11" t="str">
        <f>Tb_Dados[[#This Row],[CÓD]]&amp;Tb_Dados[[#This Row],[PRODUTO]]&amp;Tb_Dados[[#This Row],[MEDIDA]]</f>
        <v>3371COLC ROBUST D33 EPS880X1880X240</v>
      </c>
      <c r="B247" s="12" t="s">
        <v>13</v>
      </c>
      <c r="C247" s="13">
        <v>3371</v>
      </c>
      <c r="D247" s="14" t="s">
        <v>166</v>
      </c>
      <c r="E247" s="13" t="s">
        <v>220</v>
      </c>
      <c r="F247" s="15">
        <v>382.31587086433046</v>
      </c>
      <c r="G247" s="16">
        <v>191.15793543216523</v>
      </c>
      <c r="H247" s="17">
        <f t="shared" si="13"/>
        <v>0.88</v>
      </c>
      <c r="I247" s="17">
        <f t="shared" si="14"/>
        <v>1.88</v>
      </c>
      <c r="J247" s="18">
        <f t="shared" si="15"/>
        <v>0.24</v>
      </c>
      <c r="K247" s="18">
        <f t="shared" si="12"/>
        <v>3.9705599999999999</v>
      </c>
      <c r="L247" s="14" t="s">
        <v>221</v>
      </c>
    </row>
    <row r="248" spans="1:12" x14ac:dyDescent="0.3">
      <c r="A248" s="11" t="str">
        <f>Tb_Dados[[#This Row],[CÓD]]&amp;Tb_Dados[[#This Row],[PRODUTO]]&amp;Tb_Dados[[#This Row],[MEDIDA]]</f>
        <v>3371COLC ROBUST D33 EPS1280X1880X240</v>
      </c>
      <c r="B248" s="12" t="s">
        <v>13</v>
      </c>
      <c r="C248" s="13">
        <v>3371</v>
      </c>
      <c r="D248" s="14" t="s">
        <v>166</v>
      </c>
      <c r="E248" s="13" t="s">
        <v>224</v>
      </c>
      <c r="F248" s="15">
        <v>584.27754169256536</v>
      </c>
      <c r="G248" s="16">
        <v>292.13877084628268</v>
      </c>
      <c r="H248" s="17">
        <f t="shared" si="13"/>
        <v>1.28</v>
      </c>
      <c r="I248" s="17">
        <f t="shared" si="14"/>
        <v>1.88</v>
      </c>
      <c r="J248" s="18">
        <f t="shared" si="15"/>
        <v>0.24</v>
      </c>
      <c r="K248" s="18">
        <f t="shared" si="12"/>
        <v>5.7753600000000009</v>
      </c>
      <c r="L248" s="14" t="s">
        <v>225</v>
      </c>
    </row>
    <row r="249" spans="1:12" x14ac:dyDescent="0.3">
      <c r="A249" s="11" t="str">
        <f>Tb_Dados[[#This Row],[CÓD]]&amp;Tb_Dados[[#This Row],[PRODUTO]]&amp;Tb_Dados[[#This Row],[MEDIDA]]</f>
        <v>3371COLC ROBUST D33 EPS1380X1880X240</v>
      </c>
      <c r="B249" s="12" t="s">
        <v>13</v>
      </c>
      <c r="C249" s="13">
        <v>3371</v>
      </c>
      <c r="D249" s="14" t="s">
        <v>166</v>
      </c>
      <c r="E249" s="13" t="s">
        <v>226</v>
      </c>
      <c r="F249" s="15">
        <v>584.27754169256536</v>
      </c>
      <c r="G249" s="16">
        <v>292.13877084628268</v>
      </c>
      <c r="H249" s="17">
        <f t="shared" si="13"/>
        <v>1.38</v>
      </c>
      <c r="I249" s="17">
        <f t="shared" si="14"/>
        <v>1.88</v>
      </c>
      <c r="J249" s="18">
        <f t="shared" si="15"/>
        <v>0.24</v>
      </c>
      <c r="K249" s="18">
        <f t="shared" si="12"/>
        <v>6.2265600000000001</v>
      </c>
      <c r="L249" s="14" t="s">
        <v>227</v>
      </c>
    </row>
    <row r="250" spans="1:12" x14ac:dyDescent="0.3">
      <c r="A250" s="11" t="str">
        <f>Tb_Dados[[#This Row],[CÓD]]&amp;Tb_Dados[[#This Row],[PRODUTO]]&amp;Tb_Dados[[#This Row],[MEDIDA]]</f>
        <v>3371COLC ROBUST D33 EPS1580X1980X240</v>
      </c>
      <c r="B250" s="12" t="s">
        <v>13</v>
      </c>
      <c r="C250" s="13">
        <v>3371</v>
      </c>
      <c r="D250" s="14" t="s">
        <v>166</v>
      </c>
      <c r="E250" s="13" t="s">
        <v>228</v>
      </c>
      <c r="F250" s="15">
        <v>690.74941049874963</v>
      </c>
      <c r="G250" s="16">
        <v>345.37470524937481</v>
      </c>
      <c r="H250" s="17">
        <f t="shared" si="13"/>
        <v>1.58</v>
      </c>
      <c r="I250" s="17">
        <f t="shared" si="14"/>
        <v>1.98</v>
      </c>
      <c r="J250" s="18">
        <f t="shared" si="15"/>
        <v>0.24</v>
      </c>
      <c r="K250" s="18">
        <f t="shared" si="12"/>
        <v>7.5081600000000002</v>
      </c>
      <c r="L250" s="14" t="s">
        <v>229</v>
      </c>
    </row>
    <row r="251" spans="1:12" x14ac:dyDescent="0.3">
      <c r="A251" s="11" t="str">
        <f>Tb_Dados[[#This Row],[CÓD]]&amp;Tb_Dados[[#This Row],[PRODUTO]]&amp;Tb_Dados[[#This Row],[MEDIDA]]</f>
        <v>3371COLC ROBUST D33 EPS1930X2030X240</v>
      </c>
      <c r="B251" s="12" t="s">
        <v>13</v>
      </c>
      <c r="C251" s="13">
        <v>3371</v>
      </c>
      <c r="D251" s="14" t="s">
        <v>166</v>
      </c>
      <c r="E251" s="13" t="s">
        <v>230</v>
      </c>
      <c r="F251" s="15">
        <v>861.42880944186629</v>
      </c>
      <c r="G251" s="16">
        <v>430.71440472093315</v>
      </c>
      <c r="H251" s="17">
        <f t="shared" si="13"/>
        <v>1.93</v>
      </c>
      <c r="I251" s="17">
        <f t="shared" si="14"/>
        <v>2.0299999999999998</v>
      </c>
      <c r="J251" s="18">
        <f t="shared" si="15"/>
        <v>0.24</v>
      </c>
      <c r="K251" s="18">
        <f t="shared" si="12"/>
        <v>9.4029599999999984</v>
      </c>
      <c r="L251" s="14" t="s">
        <v>231</v>
      </c>
    </row>
    <row r="252" spans="1:12" x14ac:dyDescent="0.3">
      <c r="A252" s="11" t="str">
        <f>Tb_Dados[[#This Row],[CÓD]]&amp;Tb_Dados[[#This Row],[PRODUTO]]&amp;Tb_Dados[[#This Row],[MEDIDA]]</f>
        <v>3371COLC ROBUST D33 EPS880X1880X280</v>
      </c>
      <c r="B252" s="12" t="s">
        <v>13</v>
      </c>
      <c r="C252" s="13">
        <v>3371</v>
      </c>
      <c r="D252" s="14" t="s">
        <v>166</v>
      </c>
      <c r="E252" s="13" t="s">
        <v>98</v>
      </c>
      <c r="F252" s="15">
        <v>404.64298507508136</v>
      </c>
      <c r="G252" s="16">
        <v>202.32149253754068</v>
      </c>
      <c r="H252" s="17">
        <f t="shared" si="13"/>
        <v>0.88</v>
      </c>
      <c r="I252" s="17">
        <f t="shared" si="14"/>
        <v>1.88</v>
      </c>
      <c r="J252" s="18">
        <f t="shared" si="15"/>
        <v>0.28000000000000003</v>
      </c>
      <c r="K252" s="18">
        <f t="shared" si="12"/>
        <v>4.63232</v>
      </c>
      <c r="L252" s="14" t="s">
        <v>99</v>
      </c>
    </row>
    <row r="253" spans="1:12" x14ac:dyDescent="0.3">
      <c r="A253" s="11" t="str">
        <f>Tb_Dados[[#This Row],[CÓD]]&amp;Tb_Dados[[#This Row],[PRODUTO]]&amp;Tb_Dados[[#This Row],[MEDIDA]]</f>
        <v>3371COLC ROBUST D33 EPS1280X1880X280</v>
      </c>
      <c r="B253" s="12" t="s">
        <v>13</v>
      </c>
      <c r="C253" s="13">
        <v>3371</v>
      </c>
      <c r="D253" s="14" t="s">
        <v>166</v>
      </c>
      <c r="E253" s="13" t="s">
        <v>101</v>
      </c>
      <c r="F253" s="15">
        <v>618.01349396497699</v>
      </c>
      <c r="G253" s="16">
        <v>309.00674698248849</v>
      </c>
      <c r="H253" s="17">
        <f t="shared" si="13"/>
        <v>1.28</v>
      </c>
      <c r="I253" s="17">
        <f t="shared" si="14"/>
        <v>1.88</v>
      </c>
      <c r="J253" s="18">
        <f t="shared" si="15"/>
        <v>0.28000000000000003</v>
      </c>
      <c r="K253" s="18">
        <f t="shared" si="12"/>
        <v>6.7379200000000008</v>
      </c>
      <c r="L253" s="14" t="s">
        <v>102</v>
      </c>
    </row>
    <row r="254" spans="1:12" x14ac:dyDescent="0.3">
      <c r="A254" s="11" t="str">
        <f>Tb_Dados[[#This Row],[CÓD]]&amp;Tb_Dados[[#This Row],[PRODUTO]]&amp;Tb_Dados[[#This Row],[MEDIDA]]</f>
        <v>3371COLC ROBUST D33 EPS1380X1880X280</v>
      </c>
      <c r="B254" s="12" t="s">
        <v>13</v>
      </c>
      <c r="C254" s="13">
        <v>3371</v>
      </c>
      <c r="D254" s="14" t="s">
        <v>166</v>
      </c>
      <c r="E254" s="13" t="s">
        <v>104</v>
      </c>
      <c r="F254" s="15">
        <v>618.01349396497699</v>
      </c>
      <c r="G254" s="16">
        <v>309.00674698248849</v>
      </c>
      <c r="H254" s="17">
        <f t="shared" si="13"/>
        <v>1.38</v>
      </c>
      <c r="I254" s="17">
        <f t="shared" si="14"/>
        <v>1.88</v>
      </c>
      <c r="J254" s="18">
        <f t="shared" si="15"/>
        <v>0.28000000000000003</v>
      </c>
      <c r="K254" s="18">
        <f t="shared" si="12"/>
        <v>7.2643199999999997</v>
      </c>
      <c r="L254" s="14" t="s">
        <v>105</v>
      </c>
    </row>
    <row r="255" spans="1:12" x14ac:dyDescent="0.3">
      <c r="A255" s="11" t="str">
        <f>Tb_Dados[[#This Row],[CÓD]]&amp;Tb_Dados[[#This Row],[PRODUTO]]&amp;Tb_Dados[[#This Row],[MEDIDA]]</f>
        <v>3371COLC ROBUST D33 EPS1580X1980X280</v>
      </c>
      <c r="B255" s="12" t="s">
        <v>13</v>
      </c>
      <c r="C255" s="13">
        <v>3371</v>
      </c>
      <c r="D255" s="14" t="s">
        <v>166</v>
      </c>
      <c r="E255" s="13" t="s">
        <v>107</v>
      </c>
      <c r="F255" s="15">
        <v>733.45635817972766</v>
      </c>
      <c r="G255" s="16">
        <v>366.72817908986383</v>
      </c>
      <c r="H255" s="17">
        <f t="shared" si="13"/>
        <v>1.58</v>
      </c>
      <c r="I255" s="17">
        <f t="shared" si="14"/>
        <v>1.98</v>
      </c>
      <c r="J255" s="18">
        <f t="shared" si="15"/>
        <v>0.28000000000000003</v>
      </c>
      <c r="K255" s="18">
        <f t="shared" si="12"/>
        <v>8.7595200000000002</v>
      </c>
      <c r="L255" s="14" t="s">
        <v>108</v>
      </c>
    </row>
    <row r="256" spans="1:12" x14ac:dyDescent="0.3">
      <c r="A256" s="11" t="str">
        <f>Tb_Dados[[#This Row],[CÓD]]&amp;Tb_Dados[[#This Row],[PRODUTO]]&amp;Tb_Dados[[#This Row],[MEDIDA]]</f>
        <v>3371COLC ROBUST D33 EPS1930X2030X280</v>
      </c>
      <c r="B256" s="12" t="s">
        <v>13</v>
      </c>
      <c r="C256" s="13">
        <v>3371</v>
      </c>
      <c r="D256" s="14" t="s">
        <v>166</v>
      </c>
      <c r="E256" s="13" t="s">
        <v>255</v>
      </c>
      <c r="F256" s="15">
        <v>913.07108806529391</v>
      </c>
      <c r="G256" s="16">
        <v>456.53554403264695</v>
      </c>
      <c r="H256" s="17">
        <f t="shared" si="13"/>
        <v>1.93</v>
      </c>
      <c r="I256" s="17">
        <f t="shared" si="14"/>
        <v>2.0299999999999998</v>
      </c>
      <c r="J256" s="18">
        <f t="shared" si="15"/>
        <v>0.28000000000000003</v>
      </c>
      <c r="K256" s="18">
        <f t="shared" si="12"/>
        <v>10.970119999999998</v>
      </c>
      <c r="L256" s="14" t="s">
        <v>256</v>
      </c>
    </row>
    <row r="257" spans="1:12" x14ac:dyDescent="0.3">
      <c r="A257" s="11" t="str">
        <f>Tb_Dados[[#This Row],[CÓD]]&amp;Tb_Dados[[#This Row],[PRODUTO]]&amp;Tb_Dados[[#This Row],[MEDIDA]]</f>
        <v>3371COLC ROBUST D33 EPS880X1880X300</v>
      </c>
      <c r="B257" s="12" t="s">
        <v>13</v>
      </c>
      <c r="C257" s="13">
        <v>3371</v>
      </c>
      <c r="D257" s="14" t="s">
        <v>166</v>
      </c>
      <c r="E257" s="13" t="s">
        <v>47</v>
      </c>
      <c r="F257" s="15">
        <v>448.20988620929353</v>
      </c>
      <c r="G257" s="16">
        <v>224.10494310464676</v>
      </c>
      <c r="H257" s="17">
        <f t="shared" si="13"/>
        <v>0.88</v>
      </c>
      <c r="I257" s="17">
        <f t="shared" si="14"/>
        <v>1.88</v>
      </c>
      <c r="J257" s="18">
        <f t="shared" si="15"/>
        <v>0.3</v>
      </c>
      <c r="K257" s="18">
        <f t="shared" si="12"/>
        <v>4.9631999999999996</v>
      </c>
      <c r="L257" s="14" t="s">
        <v>48</v>
      </c>
    </row>
    <row r="258" spans="1:12" x14ac:dyDescent="0.3">
      <c r="A258" s="11" t="str">
        <f>Tb_Dados[[#This Row],[CÓD]]&amp;Tb_Dados[[#This Row],[PRODUTO]]&amp;Tb_Dados[[#This Row],[MEDIDA]]</f>
        <v>3371COLC ROBUST D33 EPS1280X1880X300</v>
      </c>
      <c r="B258" s="12" t="s">
        <v>13</v>
      </c>
      <c r="C258" s="13">
        <v>3371</v>
      </c>
      <c r="D258" s="14" t="s">
        <v>166</v>
      </c>
      <c r="E258" s="13" t="s">
        <v>50</v>
      </c>
      <c r="F258" s="15">
        <v>685.72093423843046</v>
      </c>
      <c r="G258" s="16">
        <v>342.86046711921523</v>
      </c>
      <c r="H258" s="17">
        <f t="shared" si="13"/>
        <v>1.28</v>
      </c>
      <c r="I258" s="17">
        <f t="shared" si="14"/>
        <v>1.88</v>
      </c>
      <c r="J258" s="18">
        <f t="shared" si="15"/>
        <v>0.3</v>
      </c>
      <c r="K258" s="18">
        <f t="shared" si="12"/>
        <v>7.2191999999999998</v>
      </c>
      <c r="L258" s="14" t="s">
        <v>51</v>
      </c>
    </row>
    <row r="259" spans="1:12" x14ac:dyDescent="0.3">
      <c r="A259" s="11" t="str">
        <f>Tb_Dados[[#This Row],[CÓD]]&amp;Tb_Dados[[#This Row],[PRODUTO]]&amp;Tb_Dados[[#This Row],[MEDIDA]]</f>
        <v>3371COLC ROBUST D33 EPS1380X1880X300</v>
      </c>
      <c r="B259" s="12" t="s">
        <v>13</v>
      </c>
      <c r="C259" s="13">
        <v>3371</v>
      </c>
      <c r="D259" s="14" t="s">
        <v>166</v>
      </c>
      <c r="E259" s="13" t="s">
        <v>53</v>
      </c>
      <c r="F259" s="15">
        <v>685.72093423843046</v>
      </c>
      <c r="G259" s="16">
        <v>342.86046711921523</v>
      </c>
      <c r="H259" s="17">
        <f t="shared" si="13"/>
        <v>1.38</v>
      </c>
      <c r="I259" s="17">
        <f t="shared" si="14"/>
        <v>1.88</v>
      </c>
      <c r="J259" s="18">
        <f t="shared" si="15"/>
        <v>0.3</v>
      </c>
      <c r="K259" s="18">
        <f t="shared" si="12"/>
        <v>7.783199999999999</v>
      </c>
      <c r="L259" s="14" t="s">
        <v>54</v>
      </c>
    </row>
    <row r="260" spans="1:12" x14ac:dyDescent="0.3">
      <c r="A260" s="11" t="str">
        <f>Tb_Dados[[#This Row],[CÓD]]&amp;Tb_Dados[[#This Row],[PRODUTO]]&amp;Tb_Dados[[#This Row],[MEDIDA]]</f>
        <v>3371COLC ROBUST D33 EPS1580X1980X300</v>
      </c>
      <c r="B260" s="12" t="s">
        <v>13</v>
      </c>
      <c r="C260" s="13">
        <v>3371</v>
      </c>
      <c r="D260" s="14" t="s">
        <v>166</v>
      </c>
      <c r="E260" s="13" t="s">
        <v>56</v>
      </c>
      <c r="F260" s="15">
        <v>812.43374591496934</v>
      </c>
      <c r="G260" s="16">
        <v>406.21687295748467</v>
      </c>
      <c r="H260" s="17">
        <f t="shared" si="13"/>
        <v>1.58</v>
      </c>
      <c r="I260" s="17">
        <f t="shared" si="14"/>
        <v>1.98</v>
      </c>
      <c r="J260" s="18">
        <f t="shared" si="15"/>
        <v>0.3</v>
      </c>
      <c r="K260" s="18">
        <f t="shared" si="12"/>
        <v>9.3852000000000011</v>
      </c>
      <c r="L260" s="14" t="s">
        <v>57</v>
      </c>
    </row>
    <row r="261" spans="1:12" x14ac:dyDescent="0.3">
      <c r="A261" s="11" t="str">
        <f>Tb_Dados[[#This Row],[CÓD]]&amp;Tb_Dados[[#This Row],[PRODUTO]]&amp;Tb_Dados[[#This Row],[MEDIDA]]</f>
        <v>3371COLC ROBUST D33 EPS1930X2030X300</v>
      </c>
      <c r="B261" s="12" t="s">
        <v>13</v>
      </c>
      <c r="C261" s="13">
        <v>3371</v>
      </c>
      <c r="D261" s="14" t="s">
        <v>166</v>
      </c>
      <c r="E261" s="13" t="s">
        <v>58</v>
      </c>
      <c r="F261" s="15">
        <v>1012.9911548426661</v>
      </c>
      <c r="G261" s="16">
        <v>506.49557742133305</v>
      </c>
      <c r="H261" s="17">
        <f t="shared" si="13"/>
        <v>1.93</v>
      </c>
      <c r="I261" s="17">
        <f t="shared" si="14"/>
        <v>2.0299999999999998</v>
      </c>
      <c r="J261" s="18">
        <f t="shared" si="15"/>
        <v>0.3</v>
      </c>
      <c r="K261" s="18">
        <f t="shared" si="12"/>
        <v>11.753699999999998</v>
      </c>
      <c r="L261" s="14" t="s">
        <v>59</v>
      </c>
    </row>
    <row r="262" spans="1:12" x14ac:dyDescent="0.3">
      <c r="A262" s="11" t="str">
        <f>Tb_Dados[[#This Row],[CÓD]]&amp;Tb_Dados[[#This Row],[PRODUTO]]&amp;Tb_Dados[[#This Row],[MEDIDA]]</f>
        <v>3138BOX ROBUST880X1880X250</v>
      </c>
      <c r="B262" s="12" t="s">
        <v>13</v>
      </c>
      <c r="C262" s="13">
        <v>3138</v>
      </c>
      <c r="D262" s="14" t="s">
        <v>128</v>
      </c>
      <c r="E262" s="13" t="s">
        <v>31</v>
      </c>
      <c r="F262" s="15">
        <v>175.0627312459433</v>
      </c>
      <c r="G262" s="16">
        <v>87.531365622971649</v>
      </c>
      <c r="H262" s="17">
        <f t="shared" si="13"/>
        <v>0.88</v>
      </c>
      <c r="I262" s="17">
        <f t="shared" si="14"/>
        <v>1.88</v>
      </c>
      <c r="J262" s="18">
        <f t="shared" si="15"/>
        <v>0.25</v>
      </c>
      <c r="K262" s="18">
        <f t="shared" ref="K262:K325" si="16">H262*I262*J262*10</f>
        <v>4.1359999999999992</v>
      </c>
      <c r="L262" s="14" t="s">
        <v>32</v>
      </c>
    </row>
    <row r="263" spans="1:12" x14ac:dyDescent="0.3">
      <c r="A263" s="11" t="str">
        <f>Tb_Dados[[#This Row],[CÓD]]&amp;Tb_Dados[[#This Row],[PRODUTO]]&amp;Tb_Dados[[#This Row],[MEDIDA]]</f>
        <v>3138BOX ROBUST1000X2000X250</v>
      </c>
      <c r="B263" s="12" t="s">
        <v>13</v>
      </c>
      <c r="C263" s="13">
        <v>3138</v>
      </c>
      <c r="D263" s="14" t="s">
        <v>128</v>
      </c>
      <c r="E263" s="13" t="s">
        <v>232</v>
      </c>
      <c r="F263" s="15">
        <v>200.10025820320735</v>
      </c>
      <c r="G263" s="16">
        <v>100.05012910160367</v>
      </c>
      <c r="H263" s="17">
        <f t="shared" ref="H263:H326" si="17">IF($E263="","",_xlfn.TEXTBEFORE($E263,"X")/1000)</f>
        <v>1</v>
      </c>
      <c r="I263" s="17">
        <f t="shared" ref="I263:I326" si="18">IF($E263="","",_xlfn.TEXTBEFORE(_xlfn.TEXTAFTER($E263,"X"),"X")/1000)</f>
        <v>2</v>
      </c>
      <c r="J263" s="18">
        <f t="shared" ref="J263:J326" si="19">IF($E263="","",_xlfn.TEXTAFTER($E263,"X",2)/1000)</f>
        <v>0.25</v>
      </c>
      <c r="K263" s="18">
        <f t="shared" si="16"/>
        <v>5</v>
      </c>
      <c r="L263" s="14" t="s">
        <v>233</v>
      </c>
    </row>
    <row r="264" spans="1:12" x14ac:dyDescent="0.3">
      <c r="A264" s="11" t="str">
        <f>Tb_Dados[[#This Row],[CÓD]]&amp;Tb_Dados[[#This Row],[PRODUTO]]&amp;Tb_Dados[[#This Row],[MEDIDA]]</f>
        <v>3138BOX ROBUST1280X1880X250</v>
      </c>
      <c r="B264" s="12" t="s">
        <v>13</v>
      </c>
      <c r="C264" s="13">
        <v>3138</v>
      </c>
      <c r="D264" s="14" t="s">
        <v>128</v>
      </c>
      <c r="E264" s="13" t="s">
        <v>34</v>
      </c>
      <c r="F264" s="15">
        <v>230.37803239910338</v>
      </c>
      <c r="G264" s="16">
        <v>115.18901619955169</v>
      </c>
      <c r="H264" s="17">
        <f t="shared" si="17"/>
        <v>1.28</v>
      </c>
      <c r="I264" s="17">
        <f t="shared" si="18"/>
        <v>1.88</v>
      </c>
      <c r="J264" s="18">
        <f t="shared" si="19"/>
        <v>0.25</v>
      </c>
      <c r="K264" s="18">
        <f t="shared" si="16"/>
        <v>6.016</v>
      </c>
      <c r="L264" s="14" t="s">
        <v>35</v>
      </c>
    </row>
    <row r="265" spans="1:12" x14ac:dyDescent="0.3">
      <c r="A265" s="11" t="str">
        <f>Tb_Dados[[#This Row],[CÓD]]&amp;Tb_Dados[[#This Row],[PRODUTO]]&amp;Tb_Dados[[#This Row],[MEDIDA]]</f>
        <v>3138BOX ROBUST1380X1880X250</v>
      </c>
      <c r="B265" s="12" t="s">
        <v>13</v>
      </c>
      <c r="C265" s="13">
        <v>3138</v>
      </c>
      <c r="D265" s="14" t="s">
        <v>128</v>
      </c>
      <c r="E265" s="13" t="s">
        <v>37</v>
      </c>
      <c r="F265" s="15">
        <v>230.37803239910338</v>
      </c>
      <c r="G265" s="16">
        <v>115.18901619955169</v>
      </c>
      <c r="H265" s="17">
        <f t="shared" si="17"/>
        <v>1.38</v>
      </c>
      <c r="I265" s="17">
        <f t="shared" si="18"/>
        <v>1.88</v>
      </c>
      <c r="J265" s="18">
        <f t="shared" si="19"/>
        <v>0.25</v>
      </c>
      <c r="K265" s="18">
        <f t="shared" si="16"/>
        <v>6.4859999999999998</v>
      </c>
      <c r="L265" s="14" t="s">
        <v>38</v>
      </c>
    </row>
    <row r="266" spans="1:12" x14ac:dyDescent="0.3">
      <c r="A266" s="11" t="str">
        <f>Tb_Dados[[#This Row],[CÓD]]&amp;Tb_Dados[[#This Row],[PRODUTO]]&amp;Tb_Dados[[#This Row],[MEDIDA]]</f>
        <v>3482BOX BIPARTIDO ROBUST1580X1980X250</v>
      </c>
      <c r="B266" s="12" t="s">
        <v>13</v>
      </c>
      <c r="C266" s="13">
        <v>3482</v>
      </c>
      <c r="D266" s="14" t="s">
        <v>74</v>
      </c>
      <c r="E266" s="13" t="s">
        <v>41</v>
      </c>
      <c r="F266" s="15">
        <v>348.25365154788659</v>
      </c>
      <c r="G266" s="16">
        <v>87.063412886971648</v>
      </c>
      <c r="H266" s="17">
        <f t="shared" si="17"/>
        <v>1.58</v>
      </c>
      <c r="I266" s="17">
        <f t="shared" si="18"/>
        <v>1.98</v>
      </c>
      <c r="J266" s="18">
        <f t="shared" si="19"/>
        <v>0.25</v>
      </c>
      <c r="K266" s="18">
        <f t="shared" si="16"/>
        <v>7.8209999999999997</v>
      </c>
      <c r="L266" s="14" t="s">
        <v>42</v>
      </c>
    </row>
    <row r="267" spans="1:12" x14ac:dyDescent="0.3">
      <c r="A267" s="11" t="str">
        <f>Tb_Dados[[#This Row],[CÓD]]&amp;Tb_Dados[[#This Row],[PRODUTO]]&amp;Tb_Dados[[#This Row],[MEDIDA]]</f>
        <v>3482BOX BIPARTIDO ROBUST1930X2030X250</v>
      </c>
      <c r="B267" s="12" t="s">
        <v>13</v>
      </c>
      <c r="C267" s="13">
        <v>3482</v>
      </c>
      <c r="D267" s="14" t="s">
        <v>74</v>
      </c>
      <c r="E267" s="13" t="s">
        <v>44</v>
      </c>
      <c r="F267" s="15">
        <v>401.64278879041461</v>
      </c>
      <c r="G267" s="16">
        <v>100.41069719760365</v>
      </c>
      <c r="H267" s="17">
        <f t="shared" si="17"/>
        <v>1.93</v>
      </c>
      <c r="I267" s="17">
        <f t="shared" si="18"/>
        <v>2.0299999999999998</v>
      </c>
      <c r="J267" s="18">
        <f t="shared" si="19"/>
        <v>0.25</v>
      </c>
      <c r="K267" s="18">
        <f t="shared" si="16"/>
        <v>9.7947499999999987</v>
      </c>
      <c r="L267" s="14" t="s">
        <v>45</v>
      </c>
    </row>
    <row r="268" spans="1:12" x14ac:dyDescent="0.3">
      <c r="A268" s="11" t="str">
        <f>Tb_Dados[[#This Row],[CÓD]]&amp;Tb_Dados[[#This Row],[PRODUTO]]&amp;Tb_Dados[[#This Row],[MEDIDA]]</f>
        <v>3138BOX ROBUST880X1880X300</v>
      </c>
      <c r="B268" s="12" t="s">
        <v>13</v>
      </c>
      <c r="C268" s="13">
        <v>3138</v>
      </c>
      <c r="D268" s="14" t="s">
        <v>128</v>
      </c>
      <c r="E268" s="13" t="s">
        <v>47</v>
      </c>
      <c r="F268" s="15">
        <v>181.00446541315532</v>
      </c>
      <c r="G268" s="16">
        <v>90.502232706577658</v>
      </c>
      <c r="H268" s="17">
        <f t="shared" si="17"/>
        <v>0.88</v>
      </c>
      <c r="I268" s="17">
        <f t="shared" si="18"/>
        <v>1.88</v>
      </c>
      <c r="J268" s="18">
        <f t="shared" si="19"/>
        <v>0.3</v>
      </c>
      <c r="K268" s="18">
        <f t="shared" si="16"/>
        <v>4.9631999999999996</v>
      </c>
      <c r="L268" s="14" t="s">
        <v>48</v>
      </c>
    </row>
    <row r="269" spans="1:12" x14ac:dyDescent="0.3">
      <c r="A269" s="11" t="str">
        <f>Tb_Dados[[#This Row],[CÓD]]&amp;Tb_Dados[[#This Row],[PRODUTO]]&amp;Tb_Dados[[#This Row],[MEDIDA]]</f>
        <v>3138BOX ROBUST1000X2000X300</v>
      </c>
      <c r="B269" s="12" t="s">
        <v>13</v>
      </c>
      <c r="C269" s="13">
        <v>3138</v>
      </c>
      <c r="D269" s="14" t="s">
        <v>128</v>
      </c>
      <c r="E269" s="13" t="s">
        <v>234</v>
      </c>
      <c r="F269" s="15">
        <v>205.24315990807736</v>
      </c>
      <c r="G269" s="16">
        <v>102.62157995403868</v>
      </c>
      <c r="H269" s="17">
        <f t="shared" si="17"/>
        <v>1</v>
      </c>
      <c r="I269" s="17">
        <f t="shared" si="18"/>
        <v>2</v>
      </c>
      <c r="J269" s="18">
        <f t="shared" si="19"/>
        <v>0.3</v>
      </c>
      <c r="K269" s="18">
        <f t="shared" si="16"/>
        <v>6</v>
      </c>
      <c r="L269" s="14" t="s">
        <v>235</v>
      </c>
    </row>
    <row r="270" spans="1:12" x14ac:dyDescent="0.3">
      <c r="A270" s="11" t="str">
        <f>Tb_Dados[[#This Row],[CÓD]]&amp;Tb_Dados[[#This Row],[PRODUTO]]&amp;Tb_Dados[[#This Row],[MEDIDA]]</f>
        <v>3138BOX ROBUST1280X1880X300</v>
      </c>
      <c r="B270" s="12" t="s">
        <v>13</v>
      </c>
      <c r="C270" s="13">
        <v>3138</v>
      </c>
      <c r="D270" s="14" t="s">
        <v>128</v>
      </c>
      <c r="E270" s="13" t="s">
        <v>50</v>
      </c>
      <c r="F270" s="15">
        <v>236.77293541046043</v>
      </c>
      <c r="G270" s="16">
        <v>118.38646770523022</v>
      </c>
      <c r="H270" s="17">
        <f t="shared" si="17"/>
        <v>1.28</v>
      </c>
      <c r="I270" s="17">
        <f t="shared" si="18"/>
        <v>1.88</v>
      </c>
      <c r="J270" s="18">
        <f t="shared" si="19"/>
        <v>0.3</v>
      </c>
      <c r="K270" s="18">
        <f t="shared" si="16"/>
        <v>7.2191999999999998</v>
      </c>
      <c r="L270" s="14" t="s">
        <v>51</v>
      </c>
    </row>
    <row r="271" spans="1:12" x14ac:dyDescent="0.3">
      <c r="A271" s="11" t="str">
        <f>Tb_Dados[[#This Row],[CÓD]]&amp;Tb_Dados[[#This Row],[PRODUTO]]&amp;Tb_Dados[[#This Row],[MEDIDA]]</f>
        <v>3138BOX ROBUST1380X1880X300</v>
      </c>
      <c r="B271" s="12" t="s">
        <v>13</v>
      </c>
      <c r="C271" s="13">
        <v>3138</v>
      </c>
      <c r="D271" s="14" t="s">
        <v>128</v>
      </c>
      <c r="E271" s="13" t="s">
        <v>53</v>
      </c>
      <c r="F271" s="15">
        <v>236.77293541046043</v>
      </c>
      <c r="G271" s="16">
        <v>118.38646770523022</v>
      </c>
      <c r="H271" s="17">
        <f t="shared" si="17"/>
        <v>1.38</v>
      </c>
      <c r="I271" s="17">
        <f t="shared" si="18"/>
        <v>1.88</v>
      </c>
      <c r="J271" s="18">
        <f t="shared" si="19"/>
        <v>0.3</v>
      </c>
      <c r="K271" s="18">
        <f t="shared" si="16"/>
        <v>7.783199999999999</v>
      </c>
      <c r="L271" s="14" t="s">
        <v>54</v>
      </c>
    </row>
    <row r="272" spans="1:12" x14ac:dyDescent="0.3">
      <c r="A272" s="11" t="str">
        <f>Tb_Dados[[#This Row],[CÓD]]&amp;Tb_Dados[[#This Row],[PRODUTO]]&amp;Tb_Dados[[#This Row],[MEDIDA]]</f>
        <v>3482BOX BIPARTIDO ROBUST1580X1980X300</v>
      </c>
      <c r="B272" s="12" t="s">
        <v>13</v>
      </c>
      <c r="C272" s="13">
        <v>3482</v>
      </c>
      <c r="D272" s="14" t="s">
        <v>74</v>
      </c>
      <c r="E272" s="13" t="s">
        <v>56</v>
      </c>
      <c r="F272" s="15">
        <v>360.13711988231069</v>
      </c>
      <c r="G272" s="16">
        <v>90.034279970577671</v>
      </c>
      <c r="H272" s="17">
        <f t="shared" si="17"/>
        <v>1.58</v>
      </c>
      <c r="I272" s="17">
        <f t="shared" si="18"/>
        <v>1.98</v>
      </c>
      <c r="J272" s="18">
        <f t="shared" si="19"/>
        <v>0.3</v>
      </c>
      <c r="K272" s="18">
        <f t="shared" si="16"/>
        <v>9.3852000000000011</v>
      </c>
      <c r="L272" s="14" t="s">
        <v>57</v>
      </c>
    </row>
    <row r="273" spans="1:12" x14ac:dyDescent="0.3">
      <c r="A273" s="11" t="str">
        <f>Tb_Dados[[#This Row],[CÓD]]&amp;Tb_Dados[[#This Row],[PRODUTO]]&amp;Tb_Dados[[#This Row],[MEDIDA]]</f>
        <v>3482BOX BIPARTIDO ROBUST1930X2030X300</v>
      </c>
      <c r="B273" s="12" t="s">
        <v>13</v>
      </c>
      <c r="C273" s="13">
        <v>3482</v>
      </c>
      <c r="D273" s="14" t="s">
        <v>74</v>
      </c>
      <c r="E273" s="13" t="s">
        <v>58</v>
      </c>
      <c r="F273" s="15">
        <v>404.84939220015474</v>
      </c>
      <c r="G273" s="16">
        <v>101.21234805003868</v>
      </c>
      <c r="H273" s="17">
        <f t="shared" si="17"/>
        <v>1.93</v>
      </c>
      <c r="I273" s="17">
        <f t="shared" si="18"/>
        <v>2.0299999999999998</v>
      </c>
      <c r="J273" s="18">
        <f t="shared" si="19"/>
        <v>0.3</v>
      </c>
      <c r="K273" s="18">
        <f t="shared" si="16"/>
        <v>11.753699999999998</v>
      </c>
      <c r="L273" s="14" t="s">
        <v>59</v>
      </c>
    </row>
    <row r="274" spans="1:12" x14ac:dyDescent="0.3">
      <c r="A274" s="11" t="str">
        <f>Tb_Dados[[#This Row],[CÓD]]&amp;Tb_Dados[[#This Row],[PRODUTO]]&amp;Tb_Dados[[#This Row],[MEDIDA]]</f>
        <v>2899BOX COM AUXÍLIO ROBUST880X1880X300</v>
      </c>
      <c r="B274" s="12" t="s">
        <v>13</v>
      </c>
      <c r="C274" s="13">
        <v>2899</v>
      </c>
      <c r="D274" s="14" t="s">
        <v>94</v>
      </c>
      <c r="E274" s="13" t="s">
        <v>47</v>
      </c>
      <c r="F274" s="15">
        <v>365.95968410494464</v>
      </c>
      <c r="G274" s="16">
        <v>182.97984205247232</v>
      </c>
      <c r="H274" s="17">
        <f t="shared" si="17"/>
        <v>0.88</v>
      </c>
      <c r="I274" s="17">
        <f t="shared" si="18"/>
        <v>1.88</v>
      </c>
      <c r="J274" s="18">
        <f t="shared" si="19"/>
        <v>0.3</v>
      </c>
      <c r="K274" s="18">
        <f t="shared" si="16"/>
        <v>4.9631999999999996</v>
      </c>
      <c r="L274" s="22" t="s">
        <v>257</v>
      </c>
    </row>
    <row r="275" spans="1:12" x14ac:dyDescent="0.3">
      <c r="A275" s="11" t="str">
        <f>Tb_Dados[[#This Row],[CÓD]]&amp;Tb_Dados[[#This Row],[PRODUTO]]&amp;Tb_Dados[[#This Row],[MEDIDA]]</f>
        <v>2740COLC DREAMS D28 LISO780X1880X120</v>
      </c>
      <c r="B275" s="12" t="s">
        <v>13</v>
      </c>
      <c r="C275" s="13">
        <v>2740</v>
      </c>
      <c r="D275" s="14" t="s">
        <v>151</v>
      </c>
      <c r="E275" s="13" t="s">
        <v>258</v>
      </c>
      <c r="F275" s="15">
        <v>164.29839019541367</v>
      </c>
      <c r="G275" s="16">
        <v>82.149195097706837</v>
      </c>
      <c r="H275" s="17">
        <f t="shared" si="17"/>
        <v>0.78</v>
      </c>
      <c r="I275" s="17">
        <f t="shared" si="18"/>
        <v>1.88</v>
      </c>
      <c r="J275" s="18">
        <f t="shared" si="19"/>
        <v>0.12</v>
      </c>
      <c r="K275" s="18">
        <f t="shared" si="16"/>
        <v>1.7596799999999999</v>
      </c>
      <c r="L275" s="14" t="s">
        <v>259</v>
      </c>
    </row>
    <row r="276" spans="1:12" x14ac:dyDescent="0.3">
      <c r="A276" s="11" t="str">
        <f>Tb_Dados[[#This Row],[CÓD]]&amp;Tb_Dados[[#This Row],[PRODUTO]]&amp;Tb_Dados[[#This Row],[MEDIDA]]</f>
        <v>2740COLC DREAMS D28 LISO880X1880X120</v>
      </c>
      <c r="B276" s="12" t="s">
        <v>13</v>
      </c>
      <c r="C276" s="13">
        <v>2740</v>
      </c>
      <c r="D276" s="14" t="s">
        <v>151</v>
      </c>
      <c r="E276" s="13" t="s">
        <v>260</v>
      </c>
      <c r="F276" s="15">
        <v>184.07206397971288</v>
      </c>
      <c r="G276" s="16">
        <v>92.03603198985644</v>
      </c>
      <c r="H276" s="17">
        <f t="shared" si="17"/>
        <v>0.88</v>
      </c>
      <c r="I276" s="17">
        <f t="shared" si="18"/>
        <v>1.88</v>
      </c>
      <c r="J276" s="18">
        <f t="shared" si="19"/>
        <v>0.12</v>
      </c>
      <c r="K276" s="18">
        <f t="shared" si="16"/>
        <v>1.9852799999999999</v>
      </c>
      <c r="L276" s="14" t="s">
        <v>261</v>
      </c>
    </row>
    <row r="277" spans="1:12" x14ac:dyDescent="0.3">
      <c r="A277" s="11" t="str">
        <f>Tb_Dados[[#This Row],[CÓD]]&amp;Tb_Dados[[#This Row],[PRODUTO]]&amp;Tb_Dados[[#This Row],[MEDIDA]]</f>
        <v>2740COLC DREAMS D28 LISO1000X2000X120</v>
      </c>
      <c r="B277" s="12" t="s">
        <v>13</v>
      </c>
      <c r="C277" s="13">
        <v>2740</v>
      </c>
      <c r="D277" s="14" t="s">
        <v>151</v>
      </c>
      <c r="E277" s="13" t="s">
        <v>262</v>
      </c>
      <c r="F277" s="15">
        <v>226.97458129572414</v>
      </c>
      <c r="G277" s="16">
        <v>113.48729064786207</v>
      </c>
      <c r="H277" s="17">
        <f t="shared" si="17"/>
        <v>1</v>
      </c>
      <c r="I277" s="17">
        <f t="shared" si="18"/>
        <v>2</v>
      </c>
      <c r="J277" s="18">
        <f t="shared" si="19"/>
        <v>0.12</v>
      </c>
      <c r="K277" s="18">
        <f t="shared" si="16"/>
        <v>2.4</v>
      </c>
      <c r="L277" s="14" t="s">
        <v>263</v>
      </c>
    </row>
    <row r="278" spans="1:12" x14ac:dyDescent="0.3">
      <c r="A278" s="11" t="str">
        <f>Tb_Dados[[#This Row],[CÓD]]&amp;Tb_Dados[[#This Row],[PRODUTO]]&amp;Tb_Dados[[#This Row],[MEDIDA]]</f>
        <v>2740COLC DREAMS D28 LISO1280X1880X120</v>
      </c>
      <c r="B278" s="12" t="s">
        <v>13</v>
      </c>
      <c r="C278" s="13">
        <v>2740</v>
      </c>
      <c r="D278" s="14" t="s">
        <v>151</v>
      </c>
      <c r="E278" s="13" t="s">
        <v>264</v>
      </c>
      <c r="F278" s="15">
        <v>293.57692410967292</v>
      </c>
      <c r="G278" s="16">
        <v>146.78846205483646</v>
      </c>
      <c r="H278" s="17">
        <f t="shared" si="17"/>
        <v>1.28</v>
      </c>
      <c r="I278" s="17">
        <f t="shared" si="18"/>
        <v>1.88</v>
      </c>
      <c r="J278" s="18">
        <f t="shared" si="19"/>
        <v>0.12</v>
      </c>
      <c r="K278" s="18">
        <f t="shared" si="16"/>
        <v>2.8876800000000005</v>
      </c>
      <c r="L278" s="14" t="s">
        <v>265</v>
      </c>
    </row>
    <row r="279" spans="1:12" x14ac:dyDescent="0.3">
      <c r="A279" s="11" t="str">
        <f>Tb_Dados[[#This Row],[CÓD]]&amp;Tb_Dados[[#This Row],[PRODUTO]]&amp;Tb_Dados[[#This Row],[MEDIDA]]</f>
        <v>2740COLC DREAMS D28 LISO1380X1880X120</v>
      </c>
      <c r="B279" s="12" t="s">
        <v>13</v>
      </c>
      <c r="C279" s="13">
        <v>2740</v>
      </c>
      <c r="D279" s="14" t="s">
        <v>151</v>
      </c>
      <c r="E279" s="13" t="s">
        <v>266</v>
      </c>
      <c r="F279" s="15">
        <v>293.57692410967292</v>
      </c>
      <c r="G279" s="16">
        <v>146.78846205483646</v>
      </c>
      <c r="H279" s="17">
        <f t="shared" si="17"/>
        <v>1.38</v>
      </c>
      <c r="I279" s="17">
        <f t="shared" si="18"/>
        <v>1.88</v>
      </c>
      <c r="J279" s="18">
        <f t="shared" si="19"/>
        <v>0.12</v>
      </c>
      <c r="K279" s="18">
        <f t="shared" si="16"/>
        <v>3.11328</v>
      </c>
      <c r="L279" s="14" t="s">
        <v>267</v>
      </c>
    </row>
    <row r="280" spans="1:12" x14ac:dyDescent="0.3">
      <c r="A280" s="11" t="str">
        <f>Tb_Dados[[#This Row],[CÓD]]&amp;Tb_Dados[[#This Row],[PRODUTO]]&amp;Tb_Dados[[#This Row],[MEDIDA]]</f>
        <v>2740COLC DREAMS D28 BORDADO780X1880X140</v>
      </c>
      <c r="B280" s="12" t="s">
        <v>13</v>
      </c>
      <c r="C280" s="13">
        <v>2740</v>
      </c>
      <c r="D280" s="14" t="s">
        <v>148</v>
      </c>
      <c r="E280" s="13" t="s">
        <v>268</v>
      </c>
      <c r="F280" s="15">
        <v>186.11016314606337</v>
      </c>
      <c r="G280" s="16">
        <v>93.055081573031686</v>
      </c>
      <c r="H280" s="17">
        <f t="shared" si="17"/>
        <v>0.78</v>
      </c>
      <c r="I280" s="17">
        <f t="shared" si="18"/>
        <v>1.88</v>
      </c>
      <c r="J280" s="18">
        <f t="shared" si="19"/>
        <v>0.14000000000000001</v>
      </c>
      <c r="K280" s="18">
        <f t="shared" si="16"/>
        <v>2.0529600000000001</v>
      </c>
      <c r="L280" s="14" t="s">
        <v>269</v>
      </c>
    </row>
    <row r="281" spans="1:12" x14ac:dyDescent="0.3">
      <c r="A281" s="11" t="str">
        <f>Tb_Dados[[#This Row],[CÓD]]&amp;Tb_Dados[[#This Row],[PRODUTO]]&amp;Tb_Dados[[#This Row],[MEDIDA]]</f>
        <v>2740COLC DREAMS D28 BORDADO880X1880X140</v>
      </c>
      <c r="B281" s="12" t="s">
        <v>13</v>
      </c>
      <c r="C281" s="13">
        <v>2740</v>
      </c>
      <c r="D281" s="14" t="s">
        <v>148</v>
      </c>
      <c r="E281" s="13" t="s">
        <v>270</v>
      </c>
      <c r="F281" s="15">
        <v>208.7179558510808</v>
      </c>
      <c r="G281" s="16">
        <v>104.3589779255404</v>
      </c>
      <c r="H281" s="17">
        <f t="shared" si="17"/>
        <v>0.88</v>
      </c>
      <c r="I281" s="17">
        <f t="shared" si="18"/>
        <v>1.88</v>
      </c>
      <c r="J281" s="18">
        <f t="shared" si="19"/>
        <v>0.14000000000000001</v>
      </c>
      <c r="K281" s="18">
        <f t="shared" si="16"/>
        <v>2.31616</v>
      </c>
      <c r="L281" s="14" t="s">
        <v>271</v>
      </c>
    </row>
    <row r="282" spans="1:12" x14ac:dyDescent="0.3">
      <c r="A282" s="11" t="str">
        <f>Tb_Dados[[#This Row],[CÓD]]&amp;Tb_Dados[[#This Row],[PRODUTO]]&amp;Tb_Dados[[#This Row],[MEDIDA]]</f>
        <v>2740COLC DREAMS D28 BORDADO1000X2000X140</v>
      </c>
      <c r="B282" s="12" t="s">
        <v>13</v>
      </c>
      <c r="C282" s="13">
        <v>2740</v>
      </c>
      <c r="D282" s="14" t="s">
        <v>148</v>
      </c>
      <c r="E282" s="13" t="s">
        <v>272</v>
      </c>
      <c r="F282" s="15">
        <v>254.13484041180433</v>
      </c>
      <c r="G282" s="16">
        <v>127.06742020590217</v>
      </c>
      <c r="H282" s="17">
        <f t="shared" si="17"/>
        <v>1</v>
      </c>
      <c r="I282" s="17">
        <f t="shared" si="18"/>
        <v>2</v>
      </c>
      <c r="J282" s="18">
        <f t="shared" si="19"/>
        <v>0.14000000000000001</v>
      </c>
      <c r="K282" s="18">
        <f t="shared" si="16"/>
        <v>2.8000000000000003</v>
      </c>
      <c r="L282" s="14" t="s">
        <v>273</v>
      </c>
    </row>
    <row r="283" spans="1:12" x14ac:dyDescent="0.3">
      <c r="A283" s="11" t="str">
        <f>Tb_Dados[[#This Row],[CÓD]]&amp;Tb_Dados[[#This Row],[PRODUTO]]&amp;Tb_Dados[[#This Row],[MEDIDA]]</f>
        <v>2740COLC DREAMS D28 BORDADO1280X1880X140</v>
      </c>
      <c r="B283" s="12" t="s">
        <v>13</v>
      </c>
      <c r="C283" s="13">
        <v>2740</v>
      </c>
      <c r="D283" s="14" t="s">
        <v>148</v>
      </c>
      <c r="E283" s="13" t="s">
        <v>274</v>
      </c>
      <c r="F283" s="15">
        <v>332.04115483221142</v>
      </c>
      <c r="G283" s="16">
        <v>166.02057741610571</v>
      </c>
      <c r="H283" s="17">
        <f t="shared" si="17"/>
        <v>1.28</v>
      </c>
      <c r="I283" s="17">
        <f t="shared" si="18"/>
        <v>1.88</v>
      </c>
      <c r="J283" s="18">
        <f t="shared" si="19"/>
        <v>0.14000000000000001</v>
      </c>
      <c r="K283" s="18">
        <f t="shared" si="16"/>
        <v>3.3689600000000004</v>
      </c>
      <c r="L283" s="14" t="s">
        <v>275</v>
      </c>
    </row>
    <row r="284" spans="1:12" x14ac:dyDescent="0.3">
      <c r="A284" s="11" t="str">
        <f>Tb_Dados[[#This Row],[CÓD]]&amp;Tb_Dados[[#This Row],[PRODUTO]]&amp;Tb_Dados[[#This Row],[MEDIDA]]</f>
        <v>2740COLC DREAMS D28 BORDADO1380X1880X140</v>
      </c>
      <c r="B284" s="12" t="s">
        <v>13</v>
      </c>
      <c r="C284" s="13">
        <v>2740</v>
      </c>
      <c r="D284" s="14" t="s">
        <v>148</v>
      </c>
      <c r="E284" s="13" t="s">
        <v>276</v>
      </c>
      <c r="F284" s="15">
        <v>332.04115483221142</v>
      </c>
      <c r="G284" s="16">
        <v>166.02057741610571</v>
      </c>
      <c r="H284" s="17">
        <f t="shared" si="17"/>
        <v>1.38</v>
      </c>
      <c r="I284" s="17">
        <f t="shared" si="18"/>
        <v>1.88</v>
      </c>
      <c r="J284" s="18">
        <f t="shared" si="19"/>
        <v>0.14000000000000001</v>
      </c>
      <c r="K284" s="18">
        <f t="shared" si="16"/>
        <v>3.6321599999999998</v>
      </c>
      <c r="L284" s="14" t="s">
        <v>277</v>
      </c>
    </row>
    <row r="285" spans="1:12" x14ac:dyDescent="0.3">
      <c r="A285" s="11" t="str">
        <f>Tb_Dados[[#This Row],[CÓD]]&amp;Tb_Dados[[#This Row],[PRODUTO]]&amp;Tb_Dados[[#This Row],[MEDIDA]]</f>
        <v>2740COLC DREAMS D28 BORDADO780X1880X170</v>
      </c>
      <c r="B285" s="12" t="s">
        <v>13</v>
      </c>
      <c r="C285" s="13">
        <v>2740</v>
      </c>
      <c r="D285" s="14" t="s">
        <v>148</v>
      </c>
      <c r="E285" s="13" t="s">
        <v>237</v>
      </c>
      <c r="F285" s="15">
        <v>226.0857570296703</v>
      </c>
      <c r="G285" s="16">
        <v>113.04287851483515</v>
      </c>
      <c r="H285" s="17">
        <f t="shared" si="17"/>
        <v>0.78</v>
      </c>
      <c r="I285" s="17">
        <f t="shared" si="18"/>
        <v>1.88</v>
      </c>
      <c r="J285" s="18">
        <f t="shared" si="19"/>
        <v>0.17</v>
      </c>
      <c r="K285" s="18">
        <f t="shared" si="16"/>
        <v>2.49288</v>
      </c>
      <c r="L285" s="14" t="s">
        <v>238</v>
      </c>
    </row>
    <row r="286" spans="1:12" x14ac:dyDescent="0.3">
      <c r="A286" s="11" t="str">
        <f>Tb_Dados[[#This Row],[CÓD]]&amp;Tb_Dados[[#This Row],[PRODUTO]]&amp;Tb_Dados[[#This Row],[MEDIDA]]</f>
        <v>2740COLC DREAMS D28 BORDADO880X1880X170</v>
      </c>
      <c r="B286" s="12" t="s">
        <v>13</v>
      </c>
      <c r="C286" s="13">
        <v>2740</v>
      </c>
      <c r="D286" s="14" t="s">
        <v>148</v>
      </c>
      <c r="E286" s="13" t="s">
        <v>239</v>
      </c>
      <c r="F286" s="15">
        <v>253.48770606614713</v>
      </c>
      <c r="G286" s="16">
        <v>126.74385303307356</v>
      </c>
      <c r="H286" s="17">
        <f t="shared" si="17"/>
        <v>0.88</v>
      </c>
      <c r="I286" s="17">
        <f t="shared" si="18"/>
        <v>1.88</v>
      </c>
      <c r="J286" s="18">
        <f t="shared" si="19"/>
        <v>0.17</v>
      </c>
      <c r="K286" s="18">
        <f t="shared" si="16"/>
        <v>2.8124799999999999</v>
      </c>
      <c r="L286" s="14" t="s">
        <v>240</v>
      </c>
    </row>
    <row r="287" spans="1:12" x14ac:dyDescent="0.3">
      <c r="A287" s="11" t="str">
        <f>Tb_Dados[[#This Row],[CÓD]]&amp;Tb_Dados[[#This Row],[PRODUTO]]&amp;Tb_Dados[[#This Row],[MEDIDA]]</f>
        <v>2740COLC DREAMS D28 BORDADO1000X2000X170</v>
      </c>
      <c r="B287" s="12" t="s">
        <v>13</v>
      </c>
      <c r="C287" s="13">
        <v>2740</v>
      </c>
      <c r="D287" s="14" t="s">
        <v>148</v>
      </c>
      <c r="E287" s="13" t="s">
        <v>241</v>
      </c>
      <c r="F287" s="15">
        <v>297.3905364784427</v>
      </c>
      <c r="G287" s="16">
        <v>148.69526823922135</v>
      </c>
      <c r="H287" s="17">
        <f t="shared" si="17"/>
        <v>1</v>
      </c>
      <c r="I287" s="17">
        <f t="shared" si="18"/>
        <v>2</v>
      </c>
      <c r="J287" s="18">
        <f t="shared" si="19"/>
        <v>0.17</v>
      </c>
      <c r="K287" s="18">
        <f t="shared" si="16"/>
        <v>3.4000000000000004</v>
      </c>
      <c r="L287" s="14" t="s">
        <v>242</v>
      </c>
    </row>
    <row r="288" spans="1:12" x14ac:dyDescent="0.3">
      <c r="A288" s="11" t="str">
        <f>Tb_Dados[[#This Row],[CÓD]]&amp;Tb_Dados[[#This Row],[PRODUTO]]&amp;Tb_Dados[[#This Row],[MEDIDA]]</f>
        <v>2740COLC DREAMS D28 BORDADO1280X1880X170</v>
      </c>
      <c r="B288" s="12" t="s">
        <v>13</v>
      </c>
      <c r="C288" s="13">
        <v>2740</v>
      </c>
      <c r="D288" s="14" t="s">
        <v>148</v>
      </c>
      <c r="E288" s="13" t="s">
        <v>243</v>
      </c>
      <c r="F288" s="15">
        <v>390.49745124853138</v>
      </c>
      <c r="G288" s="16">
        <v>195.24872562426569</v>
      </c>
      <c r="H288" s="17">
        <f t="shared" si="17"/>
        <v>1.28</v>
      </c>
      <c r="I288" s="17">
        <f t="shared" si="18"/>
        <v>1.88</v>
      </c>
      <c r="J288" s="18">
        <f t="shared" si="19"/>
        <v>0.17</v>
      </c>
      <c r="K288" s="18">
        <f t="shared" si="16"/>
        <v>4.0908800000000003</v>
      </c>
      <c r="L288" s="14" t="s">
        <v>244</v>
      </c>
    </row>
    <row r="289" spans="1:12" x14ac:dyDescent="0.3">
      <c r="A289" s="11" t="str">
        <f>Tb_Dados[[#This Row],[CÓD]]&amp;Tb_Dados[[#This Row],[PRODUTO]]&amp;Tb_Dados[[#This Row],[MEDIDA]]</f>
        <v>2740COLC DREAMS D28 BORDADO1380X1880X170</v>
      </c>
      <c r="B289" s="12" t="s">
        <v>13</v>
      </c>
      <c r="C289" s="13">
        <v>2740</v>
      </c>
      <c r="D289" s="14" t="s">
        <v>148</v>
      </c>
      <c r="E289" s="13" t="s">
        <v>245</v>
      </c>
      <c r="F289" s="15">
        <v>390.49745124853138</v>
      </c>
      <c r="G289" s="16">
        <v>195.24872562426569</v>
      </c>
      <c r="H289" s="17">
        <f t="shared" si="17"/>
        <v>1.38</v>
      </c>
      <c r="I289" s="17">
        <f t="shared" si="18"/>
        <v>1.88</v>
      </c>
      <c r="J289" s="18">
        <f t="shared" si="19"/>
        <v>0.17</v>
      </c>
      <c r="K289" s="18">
        <f t="shared" si="16"/>
        <v>4.4104799999999997</v>
      </c>
      <c r="L289" s="14" t="s">
        <v>246</v>
      </c>
    </row>
    <row r="290" spans="1:12" x14ac:dyDescent="0.3">
      <c r="A290" s="11" t="str">
        <f>Tb_Dados[[#This Row],[CÓD]]&amp;Tb_Dados[[#This Row],[PRODUTO]]&amp;Tb_Dados[[#This Row],[MEDIDA]]</f>
        <v>2740COLC DREAMS D28 BORDADO780X1880X200</v>
      </c>
      <c r="B290" s="12" t="s">
        <v>13</v>
      </c>
      <c r="C290" s="13">
        <v>2740</v>
      </c>
      <c r="D290" s="14" t="s">
        <v>148</v>
      </c>
      <c r="E290" s="13" t="s">
        <v>247</v>
      </c>
      <c r="F290" s="15">
        <v>272.32340689527547</v>
      </c>
      <c r="G290" s="16">
        <v>136.16170344763773</v>
      </c>
      <c r="H290" s="17">
        <f t="shared" si="17"/>
        <v>0.78</v>
      </c>
      <c r="I290" s="17">
        <f t="shared" si="18"/>
        <v>1.88</v>
      </c>
      <c r="J290" s="18">
        <f t="shared" si="19"/>
        <v>0.2</v>
      </c>
      <c r="K290" s="18">
        <f t="shared" si="16"/>
        <v>2.9327999999999999</v>
      </c>
      <c r="L290" s="14" t="s">
        <v>248</v>
      </c>
    </row>
    <row r="291" spans="1:12" x14ac:dyDescent="0.3">
      <c r="A291" s="11" t="str">
        <f>Tb_Dados[[#This Row],[CÓD]]&amp;Tb_Dados[[#This Row],[PRODUTO]]&amp;Tb_Dados[[#This Row],[MEDIDA]]</f>
        <v>2740COLC DREAMS D28 BORDADO880X1880X200</v>
      </c>
      <c r="B291" s="12" t="s">
        <v>13</v>
      </c>
      <c r="C291" s="13">
        <v>2740</v>
      </c>
      <c r="D291" s="14" t="s">
        <v>148</v>
      </c>
      <c r="E291" s="13" t="s">
        <v>208</v>
      </c>
      <c r="F291" s="15">
        <v>305.23276656939788</v>
      </c>
      <c r="G291" s="16">
        <v>152.61638328469894</v>
      </c>
      <c r="H291" s="17">
        <f t="shared" si="17"/>
        <v>0.88</v>
      </c>
      <c r="I291" s="17">
        <f t="shared" si="18"/>
        <v>1.88</v>
      </c>
      <c r="J291" s="18">
        <f t="shared" si="19"/>
        <v>0.2</v>
      </c>
      <c r="K291" s="18">
        <f t="shared" si="16"/>
        <v>3.3088000000000002</v>
      </c>
      <c r="L291" s="14" t="s">
        <v>209</v>
      </c>
    </row>
    <row r="292" spans="1:12" x14ac:dyDescent="0.3">
      <c r="A292" s="11" t="str">
        <f>Tb_Dados[[#This Row],[CÓD]]&amp;Tb_Dados[[#This Row],[PRODUTO]]&amp;Tb_Dados[[#This Row],[MEDIDA]]</f>
        <v>2740COLC DREAMS D28 BORDADO1000X2000X200</v>
      </c>
      <c r="B292" s="12" t="s">
        <v>13</v>
      </c>
      <c r="C292" s="13">
        <v>2740</v>
      </c>
      <c r="D292" s="14" t="s">
        <v>148</v>
      </c>
      <c r="E292" s="13" t="s">
        <v>210</v>
      </c>
      <c r="F292" s="15">
        <v>358.57539543518499</v>
      </c>
      <c r="G292" s="16">
        <v>179.28769771759249</v>
      </c>
      <c r="H292" s="17">
        <f t="shared" si="17"/>
        <v>1</v>
      </c>
      <c r="I292" s="17">
        <f t="shared" si="18"/>
        <v>2</v>
      </c>
      <c r="J292" s="18">
        <f t="shared" si="19"/>
        <v>0.2</v>
      </c>
      <c r="K292" s="18">
        <f t="shared" si="16"/>
        <v>4</v>
      </c>
      <c r="L292" s="14" t="s">
        <v>211</v>
      </c>
    </row>
    <row r="293" spans="1:12" x14ac:dyDescent="0.3">
      <c r="A293" s="11" t="str">
        <f>Tb_Dados[[#This Row],[CÓD]]&amp;Tb_Dados[[#This Row],[PRODUTO]]&amp;Tb_Dados[[#This Row],[MEDIDA]]</f>
        <v>2740COLC DREAMS D28 BORDADO1280X1880X200</v>
      </c>
      <c r="B293" s="12" t="s">
        <v>13</v>
      </c>
      <c r="C293" s="13">
        <v>2740</v>
      </c>
      <c r="D293" s="14" t="s">
        <v>148</v>
      </c>
      <c r="E293" s="13" t="s">
        <v>212</v>
      </c>
      <c r="F293" s="15">
        <v>469.77956494000995</v>
      </c>
      <c r="G293" s="16">
        <v>234.88978247000497</v>
      </c>
      <c r="H293" s="17">
        <f t="shared" si="17"/>
        <v>1.28</v>
      </c>
      <c r="I293" s="17">
        <f t="shared" si="18"/>
        <v>1.88</v>
      </c>
      <c r="J293" s="18">
        <f t="shared" si="19"/>
        <v>0.2</v>
      </c>
      <c r="K293" s="18">
        <f t="shared" si="16"/>
        <v>4.8128000000000002</v>
      </c>
      <c r="L293" s="14" t="s">
        <v>213</v>
      </c>
    </row>
    <row r="294" spans="1:12" x14ac:dyDescent="0.3">
      <c r="A294" s="11" t="str">
        <f>Tb_Dados[[#This Row],[CÓD]]&amp;Tb_Dados[[#This Row],[PRODUTO]]&amp;Tb_Dados[[#This Row],[MEDIDA]]</f>
        <v>2740COLC DREAMS D28 BORDADO1380X1880X200</v>
      </c>
      <c r="B294" s="12" t="s">
        <v>13</v>
      </c>
      <c r="C294" s="13">
        <v>2740</v>
      </c>
      <c r="D294" s="14" t="s">
        <v>148</v>
      </c>
      <c r="E294" s="13" t="s">
        <v>214</v>
      </c>
      <c r="F294" s="15">
        <v>469.77956494000995</v>
      </c>
      <c r="G294" s="16">
        <v>234.88978247000497</v>
      </c>
      <c r="H294" s="17">
        <f t="shared" si="17"/>
        <v>1.38</v>
      </c>
      <c r="I294" s="17">
        <f t="shared" si="18"/>
        <v>1.88</v>
      </c>
      <c r="J294" s="18">
        <f t="shared" si="19"/>
        <v>0.2</v>
      </c>
      <c r="K294" s="18">
        <f t="shared" si="16"/>
        <v>5.1888000000000005</v>
      </c>
      <c r="L294" s="14" t="s">
        <v>215</v>
      </c>
    </row>
    <row r="295" spans="1:12" x14ac:dyDescent="0.3">
      <c r="A295" s="11" t="str">
        <f>Tb_Dados[[#This Row],[CÓD]]&amp;Tb_Dados[[#This Row],[PRODUTO]]&amp;Tb_Dados[[#This Row],[MEDIDA]]</f>
        <v>5594COLCHONETE D20 LISO780X1880X80</v>
      </c>
      <c r="B295" s="12" t="s">
        <v>13</v>
      </c>
      <c r="C295" s="13">
        <v>5594</v>
      </c>
      <c r="D295" s="14" t="s">
        <v>172</v>
      </c>
      <c r="E295" s="13" t="s">
        <v>278</v>
      </c>
      <c r="F295" s="15">
        <v>79.88254230440829</v>
      </c>
      <c r="G295" s="16">
        <v>39.941271152204145</v>
      </c>
      <c r="H295" s="17">
        <f t="shared" si="17"/>
        <v>0.78</v>
      </c>
      <c r="I295" s="17">
        <f t="shared" si="18"/>
        <v>1.88</v>
      </c>
      <c r="J295" s="18">
        <f t="shared" si="19"/>
        <v>0.08</v>
      </c>
      <c r="K295" s="18">
        <f t="shared" si="16"/>
        <v>1.1731199999999999</v>
      </c>
      <c r="L295" s="14" t="s">
        <v>279</v>
      </c>
    </row>
    <row r="296" spans="1:12" x14ac:dyDescent="0.3">
      <c r="A296" s="11" t="str">
        <f>Tb_Dados[[#This Row],[CÓD]]&amp;Tb_Dados[[#This Row],[PRODUTO]]&amp;Tb_Dados[[#This Row],[MEDIDA]]</f>
        <v>5594COLCHONETE D20 LISO880X1880X80</v>
      </c>
      <c r="B296" s="12" t="s">
        <v>13</v>
      </c>
      <c r="C296" s="13">
        <v>5594</v>
      </c>
      <c r="D296" s="14" t="s">
        <v>172</v>
      </c>
      <c r="E296" s="13" t="s">
        <v>280</v>
      </c>
      <c r="F296" s="15">
        <v>87.07941206389782</v>
      </c>
      <c r="G296" s="16">
        <v>43.53970603194891</v>
      </c>
      <c r="H296" s="17">
        <f t="shared" si="17"/>
        <v>0.88</v>
      </c>
      <c r="I296" s="17">
        <f t="shared" si="18"/>
        <v>1.88</v>
      </c>
      <c r="J296" s="18">
        <f t="shared" si="19"/>
        <v>0.08</v>
      </c>
      <c r="K296" s="18">
        <f t="shared" si="16"/>
        <v>1.32352</v>
      </c>
      <c r="L296" s="14" t="s">
        <v>281</v>
      </c>
    </row>
    <row r="297" spans="1:12" x14ac:dyDescent="0.3">
      <c r="A297" s="11" t="str">
        <f>Tb_Dados[[#This Row],[CÓD]]&amp;Tb_Dados[[#This Row],[PRODUTO]]&amp;Tb_Dados[[#This Row],[MEDIDA]]</f>
        <v>5594COLCHONETE D20 LISO1280X1880X80</v>
      </c>
      <c r="B297" s="12" t="s">
        <v>13</v>
      </c>
      <c r="C297" s="13">
        <v>5594</v>
      </c>
      <c r="D297" s="14" t="s">
        <v>172</v>
      </c>
      <c r="E297" s="13" t="s">
        <v>282</v>
      </c>
      <c r="F297" s="15">
        <v>144.95012745480727</v>
      </c>
      <c r="G297" s="16">
        <v>72.475063727403636</v>
      </c>
      <c r="H297" s="17">
        <f t="shared" si="17"/>
        <v>1.28</v>
      </c>
      <c r="I297" s="17">
        <f t="shared" si="18"/>
        <v>1.88</v>
      </c>
      <c r="J297" s="18">
        <f t="shared" si="19"/>
        <v>0.08</v>
      </c>
      <c r="K297" s="18">
        <f t="shared" si="16"/>
        <v>1.9251200000000002</v>
      </c>
      <c r="L297" s="14" t="s">
        <v>283</v>
      </c>
    </row>
    <row r="298" spans="1:12" x14ac:dyDescent="0.3">
      <c r="A298" s="11" t="str">
        <f>Tb_Dados[[#This Row],[CÓD]]&amp;Tb_Dados[[#This Row],[PRODUTO]]&amp;Tb_Dados[[#This Row],[MEDIDA]]</f>
        <v>5594COLCHONETE D20 LISO1380X1880X80</v>
      </c>
      <c r="B298" s="12" t="s">
        <v>13</v>
      </c>
      <c r="C298" s="13">
        <v>5594</v>
      </c>
      <c r="D298" s="14" t="s">
        <v>172</v>
      </c>
      <c r="E298" s="13" t="s">
        <v>284</v>
      </c>
      <c r="F298" s="15">
        <v>144.95012745480727</v>
      </c>
      <c r="G298" s="16">
        <v>72.475063727403636</v>
      </c>
      <c r="H298" s="17">
        <f t="shared" si="17"/>
        <v>1.38</v>
      </c>
      <c r="I298" s="17">
        <f t="shared" si="18"/>
        <v>1.88</v>
      </c>
      <c r="J298" s="18">
        <f t="shared" si="19"/>
        <v>0.08</v>
      </c>
      <c r="K298" s="18">
        <f t="shared" si="16"/>
        <v>2.07552</v>
      </c>
      <c r="L298" s="14" t="s">
        <v>285</v>
      </c>
    </row>
    <row r="299" spans="1:12" x14ac:dyDescent="0.3">
      <c r="A299" s="11" t="str">
        <f>Tb_Dados[[#This Row],[CÓD]]&amp;Tb_Dados[[#This Row],[PRODUTO]]&amp;Tb_Dados[[#This Row],[MEDIDA]]</f>
        <v>2735COLC CLASSIC D20 LISO780X1880X120</v>
      </c>
      <c r="B299" s="12" t="s">
        <v>13</v>
      </c>
      <c r="C299" s="13">
        <v>2735</v>
      </c>
      <c r="D299" s="14" t="s">
        <v>139</v>
      </c>
      <c r="E299" s="13" t="s">
        <v>258</v>
      </c>
      <c r="F299" s="15">
        <v>145.7770949646563</v>
      </c>
      <c r="G299" s="16">
        <v>72.88854748232815</v>
      </c>
      <c r="H299" s="17">
        <f t="shared" si="17"/>
        <v>0.78</v>
      </c>
      <c r="I299" s="17">
        <f t="shared" si="18"/>
        <v>1.88</v>
      </c>
      <c r="J299" s="18">
        <f t="shared" si="19"/>
        <v>0.12</v>
      </c>
      <c r="K299" s="18">
        <f t="shared" si="16"/>
        <v>1.7596799999999999</v>
      </c>
      <c r="L299" s="14" t="s">
        <v>259</v>
      </c>
    </row>
    <row r="300" spans="1:12" x14ac:dyDescent="0.3">
      <c r="A300" s="11" t="str">
        <f>Tb_Dados[[#This Row],[CÓD]]&amp;Tb_Dados[[#This Row],[PRODUTO]]&amp;Tb_Dados[[#This Row],[MEDIDA]]</f>
        <v>2735COLC CLASSIC D20 LISO880X1880X120</v>
      </c>
      <c r="B300" s="12" t="s">
        <v>13</v>
      </c>
      <c r="C300" s="13">
        <v>2735</v>
      </c>
      <c r="D300" s="14" t="s">
        <v>139</v>
      </c>
      <c r="E300" s="13" t="s">
        <v>260</v>
      </c>
      <c r="F300" s="15">
        <v>163.28996483198659</v>
      </c>
      <c r="G300" s="16">
        <v>81.644982415993297</v>
      </c>
      <c r="H300" s="17">
        <f t="shared" si="17"/>
        <v>0.88</v>
      </c>
      <c r="I300" s="17">
        <f t="shared" si="18"/>
        <v>1.88</v>
      </c>
      <c r="J300" s="18">
        <f t="shared" si="19"/>
        <v>0.12</v>
      </c>
      <c r="K300" s="18">
        <f t="shared" si="16"/>
        <v>1.9852799999999999</v>
      </c>
      <c r="L300" s="14" t="s">
        <v>261</v>
      </c>
    </row>
    <row r="301" spans="1:12" x14ac:dyDescent="0.3">
      <c r="A301" s="11" t="str">
        <f>Tb_Dados[[#This Row],[CÓD]]&amp;Tb_Dados[[#This Row],[PRODUTO]]&amp;Tb_Dados[[#This Row],[MEDIDA]]</f>
        <v>2735COLC CLASSIC D20 LISO1000X2000X120</v>
      </c>
      <c r="B301" s="12" t="s">
        <v>13</v>
      </c>
      <c r="C301" s="13">
        <v>2735</v>
      </c>
      <c r="D301" s="14" t="s">
        <v>139</v>
      </c>
      <c r="E301" s="13" t="s">
        <v>262</v>
      </c>
      <c r="F301" s="15">
        <v>213.99946859587936</v>
      </c>
      <c r="G301" s="16">
        <v>106.99973429793968</v>
      </c>
      <c r="H301" s="17">
        <f t="shared" si="17"/>
        <v>1</v>
      </c>
      <c r="I301" s="17">
        <f t="shared" si="18"/>
        <v>2</v>
      </c>
      <c r="J301" s="18">
        <f t="shared" si="19"/>
        <v>0.12</v>
      </c>
      <c r="K301" s="18">
        <f t="shared" si="16"/>
        <v>2.4</v>
      </c>
      <c r="L301" s="14" t="s">
        <v>263</v>
      </c>
    </row>
    <row r="302" spans="1:12" x14ac:dyDescent="0.3">
      <c r="A302" s="11" t="str">
        <f>Tb_Dados[[#This Row],[CÓD]]&amp;Tb_Dados[[#This Row],[PRODUTO]]&amp;Tb_Dados[[#This Row],[MEDIDA]]</f>
        <v>2735COLC CLASSIC D20 LISO1280X1880X120</v>
      </c>
      <c r="B302" s="12" t="s">
        <v>13</v>
      </c>
      <c r="C302" s="13">
        <v>2735</v>
      </c>
      <c r="D302" s="14" t="s">
        <v>139</v>
      </c>
      <c r="E302" s="13" t="s">
        <v>264</v>
      </c>
      <c r="F302" s="15">
        <v>277.26553739150216</v>
      </c>
      <c r="G302" s="16">
        <v>138.63276869575108</v>
      </c>
      <c r="H302" s="17">
        <f t="shared" si="17"/>
        <v>1.28</v>
      </c>
      <c r="I302" s="17">
        <f t="shared" si="18"/>
        <v>1.88</v>
      </c>
      <c r="J302" s="18">
        <f t="shared" si="19"/>
        <v>0.12</v>
      </c>
      <c r="K302" s="18">
        <f t="shared" si="16"/>
        <v>2.8876800000000005</v>
      </c>
      <c r="L302" s="14" t="s">
        <v>265</v>
      </c>
    </row>
    <row r="303" spans="1:12" x14ac:dyDescent="0.3">
      <c r="A303" s="11" t="str">
        <f>Tb_Dados[[#This Row],[CÓD]]&amp;Tb_Dados[[#This Row],[PRODUTO]]&amp;Tb_Dados[[#This Row],[MEDIDA]]</f>
        <v>2735COLC CLASSIC D20 LISO1380X1880X120</v>
      </c>
      <c r="B303" s="12" t="s">
        <v>13</v>
      </c>
      <c r="C303" s="13">
        <v>2735</v>
      </c>
      <c r="D303" s="14" t="s">
        <v>139</v>
      </c>
      <c r="E303" s="13" t="s">
        <v>266</v>
      </c>
      <c r="F303" s="15">
        <v>277.26553739150216</v>
      </c>
      <c r="G303" s="16">
        <v>138.63276869575108</v>
      </c>
      <c r="H303" s="17">
        <f t="shared" si="17"/>
        <v>1.38</v>
      </c>
      <c r="I303" s="17">
        <f t="shared" si="18"/>
        <v>1.88</v>
      </c>
      <c r="J303" s="18">
        <f t="shared" si="19"/>
        <v>0.12</v>
      </c>
      <c r="K303" s="18">
        <f t="shared" si="16"/>
        <v>3.11328</v>
      </c>
      <c r="L303" s="14" t="s">
        <v>267</v>
      </c>
    </row>
    <row r="304" spans="1:12" x14ac:dyDescent="0.3">
      <c r="A304" s="11" t="str">
        <f>Tb_Dados[[#This Row],[CÓD]]&amp;Tb_Dados[[#This Row],[PRODUTO]]&amp;Tb_Dados[[#This Row],[MEDIDA]]</f>
        <v>2735COLC CLASSIC D20 BORDADO 780X1880X140</v>
      </c>
      <c r="B304" s="12" t="s">
        <v>13</v>
      </c>
      <c r="C304" s="13">
        <v>2735</v>
      </c>
      <c r="D304" s="14" t="s">
        <v>136</v>
      </c>
      <c r="E304" s="13" t="s">
        <v>268</v>
      </c>
      <c r="F304" s="15">
        <v>167.680578383306</v>
      </c>
      <c r="G304" s="16">
        <v>83.840289191653</v>
      </c>
      <c r="H304" s="17">
        <f t="shared" si="17"/>
        <v>0.78</v>
      </c>
      <c r="I304" s="17">
        <f t="shared" si="18"/>
        <v>1.88</v>
      </c>
      <c r="J304" s="18">
        <f t="shared" si="19"/>
        <v>0.14000000000000001</v>
      </c>
      <c r="K304" s="18">
        <f t="shared" si="16"/>
        <v>2.0529600000000001</v>
      </c>
      <c r="L304" s="14" t="s">
        <v>269</v>
      </c>
    </row>
    <row r="305" spans="1:12" x14ac:dyDescent="0.3">
      <c r="A305" s="11" t="str">
        <f>Tb_Dados[[#This Row],[CÓD]]&amp;Tb_Dados[[#This Row],[PRODUTO]]&amp;Tb_Dados[[#This Row],[MEDIDA]]</f>
        <v>2735COLC CLASSIC D20 BORDADO 880X1880X140</v>
      </c>
      <c r="B305" s="12" t="s">
        <v>13</v>
      </c>
      <c r="C305" s="13">
        <v>2735</v>
      </c>
      <c r="D305" s="14" t="s">
        <v>136</v>
      </c>
      <c r="E305" s="13" t="s">
        <v>270</v>
      </c>
      <c r="F305" s="15">
        <v>187.92983726335453</v>
      </c>
      <c r="G305" s="16">
        <v>93.964918631677264</v>
      </c>
      <c r="H305" s="17">
        <f t="shared" si="17"/>
        <v>0.88</v>
      </c>
      <c r="I305" s="17">
        <f t="shared" si="18"/>
        <v>1.88</v>
      </c>
      <c r="J305" s="18">
        <f t="shared" si="19"/>
        <v>0.14000000000000001</v>
      </c>
      <c r="K305" s="18">
        <f t="shared" si="16"/>
        <v>2.31616</v>
      </c>
      <c r="L305" s="14" t="s">
        <v>271</v>
      </c>
    </row>
    <row r="306" spans="1:12" x14ac:dyDescent="0.3">
      <c r="A306" s="11" t="str">
        <f>Tb_Dados[[#This Row],[CÓD]]&amp;Tb_Dados[[#This Row],[PRODUTO]]&amp;Tb_Dados[[#This Row],[MEDIDA]]</f>
        <v>2735COLC CLASSIC D20 BORDADO 1000X2000X140</v>
      </c>
      <c r="B306" s="12" t="s">
        <v>13</v>
      </c>
      <c r="C306" s="13">
        <v>2735</v>
      </c>
      <c r="D306" s="14" t="s">
        <v>136</v>
      </c>
      <c r="E306" s="13" t="s">
        <v>272</v>
      </c>
      <c r="F306" s="15">
        <v>242.44111437107708</v>
      </c>
      <c r="G306" s="16">
        <v>121.22055718553854</v>
      </c>
      <c r="H306" s="17">
        <f t="shared" si="17"/>
        <v>1</v>
      </c>
      <c r="I306" s="17">
        <f t="shared" si="18"/>
        <v>2</v>
      </c>
      <c r="J306" s="18">
        <f t="shared" si="19"/>
        <v>0.14000000000000001</v>
      </c>
      <c r="K306" s="18">
        <f t="shared" si="16"/>
        <v>2.8000000000000003</v>
      </c>
      <c r="L306" s="14" t="s">
        <v>273</v>
      </c>
    </row>
    <row r="307" spans="1:12" x14ac:dyDescent="0.3">
      <c r="A307" s="11" t="str">
        <f>Tb_Dados[[#This Row],[CÓD]]&amp;Tb_Dados[[#This Row],[PRODUTO]]&amp;Tb_Dados[[#This Row],[MEDIDA]]</f>
        <v>2735COLC CLASSIC D20 BORDADO 1280X1880X140</v>
      </c>
      <c r="B307" s="12" t="s">
        <v>13</v>
      </c>
      <c r="C307" s="13">
        <v>2735</v>
      </c>
      <c r="D307" s="14" t="s">
        <v>136</v>
      </c>
      <c r="E307" s="13" t="s">
        <v>274</v>
      </c>
      <c r="F307" s="15">
        <v>299.46036711964064</v>
      </c>
      <c r="G307" s="16">
        <v>149.73018355982032</v>
      </c>
      <c r="H307" s="17">
        <f t="shared" si="17"/>
        <v>1.28</v>
      </c>
      <c r="I307" s="17">
        <f t="shared" si="18"/>
        <v>1.88</v>
      </c>
      <c r="J307" s="18">
        <f t="shared" si="19"/>
        <v>0.14000000000000001</v>
      </c>
      <c r="K307" s="18">
        <f t="shared" si="16"/>
        <v>3.3689600000000004</v>
      </c>
      <c r="L307" s="14" t="s">
        <v>275</v>
      </c>
    </row>
    <row r="308" spans="1:12" x14ac:dyDescent="0.3">
      <c r="A308" s="11" t="str">
        <f>Tb_Dados[[#This Row],[CÓD]]&amp;Tb_Dados[[#This Row],[PRODUTO]]&amp;Tb_Dados[[#This Row],[MEDIDA]]</f>
        <v>2735COLC CLASSIC D20 BORDADO 1380X1880X140</v>
      </c>
      <c r="B308" s="12" t="s">
        <v>13</v>
      </c>
      <c r="C308" s="13">
        <v>2735</v>
      </c>
      <c r="D308" s="14" t="s">
        <v>136</v>
      </c>
      <c r="E308" s="13" t="s">
        <v>276</v>
      </c>
      <c r="F308" s="15">
        <v>299.46036711964064</v>
      </c>
      <c r="G308" s="16">
        <v>149.73018355982032</v>
      </c>
      <c r="H308" s="17">
        <f t="shared" si="17"/>
        <v>1.38</v>
      </c>
      <c r="I308" s="17">
        <f t="shared" si="18"/>
        <v>1.88</v>
      </c>
      <c r="J308" s="18">
        <f t="shared" si="19"/>
        <v>0.14000000000000001</v>
      </c>
      <c r="K308" s="18">
        <f t="shared" si="16"/>
        <v>3.6321599999999998</v>
      </c>
      <c r="L308" s="14" t="s">
        <v>277</v>
      </c>
    </row>
    <row r="309" spans="1:12" x14ac:dyDescent="0.3">
      <c r="A309" s="11" t="str">
        <f>Tb_Dados[[#This Row],[CÓD]]&amp;Tb_Dados[[#This Row],[PRODUTO]]&amp;Tb_Dados[[#This Row],[MEDIDA]]</f>
        <v>2735COLC CLASSIC D20 BORDADO 780X1880X170</v>
      </c>
      <c r="B309" s="12" t="s">
        <v>13</v>
      </c>
      <c r="C309" s="13">
        <v>2735</v>
      </c>
      <c r="D309" s="14" t="s">
        <v>136</v>
      </c>
      <c r="E309" s="13" t="s">
        <v>237</v>
      </c>
      <c r="F309" s="15">
        <v>199.68788932665595</v>
      </c>
      <c r="G309" s="16">
        <v>99.843944663327974</v>
      </c>
      <c r="H309" s="17">
        <f t="shared" si="17"/>
        <v>0.78</v>
      </c>
      <c r="I309" s="17">
        <f t="shared" si="18"/>
        <v>1.88</v>
      </c>
      <c r="J309" s="18">
        <f t="shared" si="19"/>
        <v>0.17</v>
      </c>
      <c r="K309" s="18">
        <f t="shared" si="16"/>
        <v>2.49288</v>
      </c>
      <c r="L309" s="14" t="s">
        <v>238</v>
      </c>
    </row>
    <row r="310" spans="1:12" x14ac:dyDescent="0.3">
      <c r="A310" s="11" t="str">
        <f>Tb_Dados[[#This Row],[CÓD]]&amp;Tb_Dados[[#This Row],[PRODUTO]]&amp;Tb_Dados[[#This Row],[MEDIDA]]</f>
        <v>2735COLC CLASSIC D20 BORDADO 880X1880X170</v>
      </c>
      <c r="B310" s="12" t="s">
        <v>13</v>
      </c>
      <c r="C310" s="13">
        <v>2735</v>
      </c>
      <c r="D310" s="14" t="s">
        <v>136</v>
      </c>
      <c r="E310" s="13" t="s">
        <v>239</v>
      </c>
      <c r="F310" s="15">
        <v>223.85798646485222</v>
      </c>
      <c r="G310" s="16">
        <v>111.92899323242611</v>
      </c>
      <c r="H310" s="17">
        <f t="shared" si="17"/>
        <v>0.88</v>
      </c>
      <c r="I310" s="17">
        <f t="shared" si="18"/>
        <v>1.88</v>
      </c>
      <c r="J310" s="18">
        <f t="shared" si="19"/>
        <v>0.17</v>
      </c>
      <c r="K310" s="18">
        <f t="shared" si="16"/>
        <v>2.8124799999999999</v>
      </c>
      <c r="L310" s="14" t="s">
        <v>240</v>
      </c>
    </row>
    <row r="311" spans="1:12" x14ac:dyDescent="0.3">
      <c r="A311" s="11" t="str">
        <f>Tb_Dados[[#This Row],[CÓD]]&amp;Tb_Dados[[#This Row],[PRODUTO]]&amp;Tb_Dados[[#This Row],[MEDIDA]]</f>
        <v>2735COLC CLASSIC D20 BORDADO 1000X2000X170</v>
      </c>
      <c r="B311" s="12" t="s">
        <v>13</v>
      </c>
      <c r="C311" s="13">
        <v>2735</v>
      </c>
      <c r="D311" s="14" t="s">
        <v>136</v>
      </c>
      <c r="E311" s="13" t="s">
        <v>241</v>
      </c>
      <c r="F311" s="15">
        <v>270.16740387649622</v>
      </c>
      <c r="G311" s="16">
        <v>135.08370193824811</v>
      </c>
      <c r="H311" s="17">
        <f t="shared" si="17"/>
        <v>1</v>
      </c>
      <c r="I311" s="17">
        <f t="shared" si="18"/>
        <v>2</v>
      </c>
      <c r="J311" s="18">
        <f t="shared" si="19"/>
        <v>0.17</v>
      </c>
      <c r="K311" s="18">
        <f t="shared" si="16"/>
        <v>3.4000000000000004</v>
      </c>
      <c r="L311" s="14" t="s">
        <v>242</v>
      </c>
    </row>
    <row r="312" spans="1:12" x14ac:dyDescent="0.3">
      <c r="A312" s="11" t="str">
        <f>Tb_Dados[[#This Row],[CÓD]]&amp;Tb_Dados[[#This Row],[PRODUTO]]&amp;Tb_Dados[[#This Row],[MEDIDA]]</f>
        <v>2735COLC CLASSIC D20 BORDADO 1280X1880X170</v>
      </c>
      <c r="B312" s="12" t="s">
        <v>13</v>
      </c>
      <c r="C312" s="13">
        <v>2735</v>
      </c>
      <c r="D312" s="14" t="s">
        <v>136</v>
      </c>
      <c r="E312" s="13" t="s">
        <v>243</v>
      </c>
      <c r="F312" s="15">
        <v>355.1956859432463</v>
      </c>
      <c r="G312" s="16">
        <v>177.59784297162315</v>
      </c>
      <c r="H312" s="17">
        <f t="shared" si="17"/>
        <v>1.28</v>
      </c>
      <c r="I312" s="17">
        <f t="shared" si="18"/>
        <v>1.88</v>
      </c>
      <c r="J312" s="18">
        <f t="shared" si="19"/>
        <v>0.17</v>
      </c>
      <c r="K312" s="18">
        <f t="shared" si="16"/>
        <v>4.0908800000000003</v>
      </c>
      <c r="L312" s="14" t="s">
        <v>244</v>
      </c>
    </row>
    <row r="313" spans="1:12" x14ac:dyDescent="0.3">
      <c r="A313" s="11" t="str">
        <f>Tb_Dados[[#This Row],[CÓD]]&amp;Tb_Dados[[#This Row],[PRODUTO]]&amp;Tb_Dados[[#This Row],[MEDIDA]]</f>
        <v>2735COLC CLASSIC D20 BORDADO 1380X1880X170</v>
      </c>
      <c r="B313" s="12" t="s">
        <v>13</v>
      </c>
      <c r="C313" s="13">
        <v>2735</v>
      </c>
      <c r="D313" s="14" t="s">
        <v>136</v>
      </c>
      <c r="E313" s="13" t="s">
        <v>245</v>
      </c>
      <c r="F313" s="15">
        <v>355.1956859432463</v>
      </c>
      <c r="G313" s="16">
        <v>177.59784297162315</v>
      </c>
      <c r="H313" s="17">
        <f t="shared" si="17"/>
        <v>1.38</v>
      </c>
      <c r="I313" s="17">
        <f t="shared" si="18"/>
        <v>1.88</v>
      </c>
      <c r="J313" s="18">
        <f t="shared" si="19"/>
        <v>0.17</v>
      </c>
      <c r="K313" s="18">
        <f t="shared" si="16"/>
        <v>4.4104799999999997</v>
      </c>
      <c r="L313" s="14" t="s">
        <v>246</v>
      </c>
    </row>
    <row r="314" spans="1:12" x14ac:dyDescent="0.3">
      <c r="A314" s="11" t="str">
        <f>Tb_Dados[[#This Row],[CÓD]]&amp;Tb_Dados[[#This Row],[PRODUTO]]&amp;Tb_Dados[[#This Row],[MEDIDA]]</f>
        <v>5593COLC CLASSIC INFANTIL  D20 BORDADO600X1300X100</v>
      </c>
      <c r="B314" s="12" t="s">
        <v>13</v>
      </c>
      <c r="C314" s="13">
        <v>5593</v>
      </c>
      <c r="D314" s="14" t="s">
        <v>142</v>
      </c>
      <c r="E314" s="13" t="s">
        <v>286</v>
      </c>
      <c r="F314" s="15">
        <v>84.160601177272994</v>
      </c>
      <c r="G314" s="16">
        <v>42.080300588636497</v>
      </c>
      <c r="H314" s="17">
        <f t="shared" si="17"/>
        <v>0.6</v>
      </c>
      <c r="I314" s="17">
        <f t="shared" si="18"/>
        <v>1.3</v>
      </c>
      <c r="J314" s="18">
        <f t="shared" si="19"/>
        <v>0.1</v>
      </c>
      <c r="K314" s="18">
        <f t="shared" si="16"/>
        <v>0.78000000000000014</v>
      </c>
      <c r="L314" s="14" t="s">
        <v>287</v>
      </c>
    </row>
    <row r="315" spans="1:12" x14ac:dyDescent="0.3">
      <c r="A315" s="11" t="str">
        <f>Tb_Dados[[#This Row],[CÓD]]&amp;Tb_Dados[[#This Row],[PRODUTO]]&amp;Tb_Dados[[#This Row],[MEDIDA]]</f>
        <v>5593COLC CLASSIC INFANTIL  D20 BORDADO700X1300X100</v>
      </c>
      <c r="B315" s="12" t="s">
        <v>13</v>
      </c>
      <c r="C315" s="13">
        <v>5593</v>
      </c>
      <c r="D315" s="14" t="s">
        <v>142</v>
      </c>
      <c r="E315" s="13" t="s">
        <v>288</v>
      </c>
      <c r="F315" s="15">
        <v>96.990905999819873</v>
      </c>
      <c r="G315" s="16">
        <v>48.495452999909936</v>
      </c>
      <c r="H315" s="17">
        <f t="shared" si="17"/>
        <v>0.7</v>
      </c>
      <c r="I315" s="17">
        <f t="shared" si="18"/>
        <v>1.3</v>
      </c>
      <c r="J315" s="18">
        <f t="shared" si="19"/>
        <v>0.1</v>
      </c>
      <c r="K315" s="18">
        <f t="shared" si="16"/>
        <v>0.90999999999999992</v>
      </c>
      <c r="L315" s="14" t="s">
        <v>289</v>
      </c>
    </row>
    <row r="316" spans="1:12" x14ac:dyDescent="0.3">
      <c r="A316" s="11" t="str">
        <f>Tb_Dados[[#This Row],[CÓD]]&amp;Tb_Dados[[#This Row],[PRODUTO]]&amp;Tb_Dados[[#This Row],[MEDIDA]]</f>
        <v>5593COLC CLASSIC INFANTIL  D20 BORDADO700X1500X100</v>
      </c>
      <c r="B316" s="12" t="s">
        <v>13</v>
      </c>
      <c r="C316" s="13">
        <v>5593</v>
      </c>
      <c r="D316" s="14" t="s">
        <v>142</v>
      </c>
      <c r="E316" s="13" t="s">
        <v>290</v>
      </c>
      <c r="F316" s="15">
        <v>105.20963497499282</v>
      </c>
      <c r="G316" s="16">
        <v>52.604817487496412</v>
      </c>
      <c r="H316" s="17">
        <f t="shared" si="17"/>
        <v>0.7</v>
      </c>
      <c r="I316" s="17">
        <f t="shared" si="18"/>
        <v>1.5</v>
      </c>
      <c r="J316" s="18">
        <f t="shared" si="19"/>
        <v>0.1</v>
      </c>
      <c r="K316" s="18">
        <f t="shared" si="16"/>
        <v>1.0499999999999998</v>
      </c>
      <c r="L316" s="14" t="s">
        <v>291</v>
      </c>
    </row>
    <row r="317" spans="1:12" x14ac:dyDescent="0.3">
      <c r="A317" s="11" t="str">
        <f>Tb_Dados[[#This Row],[CÓD]]&amp;Tb_Dados[[#This Row],[PRODUTO]]&amp;Tb_Dados[[#This Row],[MEDIDA]]</f>
        <v>5593COLC CLASSIC INFANTIL  D20 BORDADO600X1300X120</v>
      </c>
      <c r="B317" s="12" t="s">
        <v>13</v>
      </c>
      <c r="C317" s="13">
        <v>5593</v>
      </c>
      <c r="D317" s="14" t="s">
        <v>142</v>
      </c>
      <c r="E317" s="13" t="s">
        <v>292</v>
      </c>
      <c r="F317" s="15">
        <v>95.393383830782753</v>
      </c>
      <c r="G317" s="16">
        <v>47.696691915391376</v>
      </c>
      <c r="H317" s="17">
        <f t="shared" si="17"/>
        <v>0.6</v>
      </c>
      <c r="I317" s="17">
        <f t="shared" si="18"/>
        <v>1.3</v>
      </c>
      <c r="J317" s="18">
        <f t="shared" si="19"/>
        <v>0.12</v>
      </c>
      <c r="K317" s="18">
        <f t="shared" si="16"/>
        <v>0.93600000000000005</v>
      </c>
      <c r="L317" s="14" t="s">
        <v>293</v>
      </c>
    </row>
    <row r="318" spans="1:12" x14ac:dyDescent="0.3">
      <c r="A318" s="11" t="str">
        <f>Tb_Dados[[#This Row],[CÓD]]&amp;Tb_Dados[[#This Row],[PRODUTO]]&amp;Tb_Dados[[#This Row],[MEDIDA]]</f>
        <v>5593COLC CLASSIC INFANTIL  D20 BORDADO700X1300X120</v>
      </c>
      <c r="B318" s="12" t="s">
        <v>13</v>
      </c>
      <c r="C318" s="13">
        <v>5593</v>
      </c>
      <c r="D318" s="14" t="s">
        <v>142</v>
      </c>
      <c r="E318" s="13" t="s">
        <v>294</v>
      </c>
      <c r="F318" s="15">
        <v>110.00054846468315</v>
      </c>
      <c r="G318" s="16">
        <v>55.000274232341575</v>
      </c>
      <c r="H318" s="17">
        <f t="shared" si="17"/>
        <v>0.7</v>
      </c>
      <c r="I318" s="17">
        <f t="shared" si="18"/>
        <v>1.3</v>
      </c>
      <c r="J318" s="18">
        <f t="shared" si="19"/>
        <v>0.12</v>
      </c>
      <c r="K318" s="18">
        <f t="shared" si="16"/>
        <v>1.0919999999999999</v>
      </c>
      <c r="L318" s="14" t="s">
        <v>295</v>
      </c>
    </row>
    <row r="319" spans="1:12" x14ac:dyDescent="0.3">
      <c r="A319" s="11" t="str">
        <f>Tb_Dados[[#This Row],[CÓD]]&amp;Tb_Dados[[#This Row],[PRODUTO]]&amp;Tb_Dados[[#This Row],[MEDIDA]]</f>
        <v>5593COLC CLASSIC INFANTIL  D20 BORDADO700X1500X120</v>
      </c>
      <c r="B319" s="12" t="s">
        <v>13</v>
      </c>
      <c r="C319" s="13">
        <v>5593</v>
      </c>
      <c r="D319" s="14" t="s">
        <v>142</v>
      </c>
      <c r="E319" s="13" t="s">
        <v>296</v>
      </c>
      <c r="F319" s="15">
        <v>120.16135405923484</v>
      </c>
      <c r="G319" s="16">
        <v>60.080677029617419</v>
      </c>
      <c r="H319" s="17">
        <f t="shared" si="17"/>
        <v>0.7</v>
      </c>
      <c r="I319" s="17">
        <f t="shared" si="18"/>
        <v>1.5</v>
      </c>
      <c r="J319" s="18">
        <f t="shared" si="19"/>
        <v>0.12</v>
      </c>
      <c r="K319" s="18">
        <f t="shared" si="16"/>
        <v>1.2599999999999998</v>
      </c>
      <c r="L319" s="14" t="s">
        <v>297</v>
      </c>
    </row>
    <row r="320" spans="1:12" x14ac:dyDescent="0.3">
      <c r="A320" s="11" t="str">
        <f>Tb_Dados[[#This Row],[CÓD]]&amp;Tb_Dados[[#This Row],[PRODUTO]]&amp;Tb_Dados[[#This Row],[MEDIDA]]</f>
        <v>5593COLC CLASSIC INFANTIL  D20 LISO780X1880X100</v>
      </c>
      <c r="B320" s="12" t="s">
        <v>13</v>
      </c>
      <c r="C320" s="13">
        <v>5593</v>
      </c>
      <c r="D320" s="14" t="s">
        <v>145</v>
      </c>
      <c r="E320" s="13" t="s">
        <v>298</v>
      </c>
      <c r="F320" s="15">
        <v>131.89056623451083</v>
      </c>
      <c r="G320" s="16">
        <v>65.945283117255414</v>
      </c>
      <c r="H320" s="17">
        <f t="shared" si="17"/>
        <v>0.78</v>
      </c>
      <c r="I320" s="17">
        <f t="shared" si="18"/>
        <v>1.88</v>
      </c>
      <c r="J320" s="18">
        <f t="shared" si="19"/>
        <v>0.1</v>
      </c>
      <c r="K320" s="18">
        <f t="shared" si="16"/>
        <v>1.4663999999999999</v>
      </c>
      <c r="L320" s="14" t="s">
        <v>299</v>
      </c>
    </row>
    <row r="321" spans="1:12" x14ac:dyDescent="0.3">
      <c r="A321" s="11" t="str">
        <f>Tb_Dados[[#This Row],[CÓD]]&amp;Tb_Dados[[#This Row],[PRODUTO]]&amp;Tb_Dados[[#This Row],[MEDIDA]]</f>
        <v>2867BOX MILLENIUM BLACK880X1880X250</v>
      </c>
      <c r="B321" s="12" t="s">
        <v>13</v>
      </c>
      <c r="C321" s="13">
        <v>2867</v>
      </c>
      <c r="D321" s="14" t="s">
        <v>117</v>
      </c>
      <c r="E321" s="13" t="s">
        <v>31</v>
      </c>
      <c r="F321" s="15">
        <v>167.66292128233729</v>
      </c>
      <c r="G321" s="16">
        <v>83.831460641168647</v>
      </c>
      <c r="H321" s="17">
        <f t="shared" si="17"/>
        <v>0.88</v>
      </c>
      <c r="I321" s="17">
        <f t="shared" si="18"/>
        <v>1.88</v>
      </c>
      <c r="J321" s="18">
        <f t="shared" si="19"/>
        <v>0.25</v>
      </c>
      <c r="K321" s="18">
        <f t="shared" si="16"/>
        <v>4.1359999999999992</v>
      </c>
      <c r="L321" s="22" t="s">
        <v>300</v>
      </c>
    </row>
    <row r="322" spans="1:12" x14ac:dyDescent="0.3">
      <c r="A322" s="11" t="str">
        <f>Tb_Dados[[#This Row],[CÓD]]&amp;Tb_Dados[[#This Row],[PRODUTO]]&amp;Tb_Dados[[#This Row],[MEDIDA]]</f>
        <v>2867BOX MILLENIUM BLACK1000X2000X250</v>
      </c>
      <c r="B322" s="12" t="s">
        <v>13</v>
      </c>
      <c r="C322" s="13">
        <v>2867</v>
      </c>
      <c r="D322" s="14" t="s">
        <v>117</v>
      </c>
      <c r="E322" s="13" t="s">
        <v>232</v>
      </c>
      <c r="F322" s="15">
        <v>192.07650467077232</v>
      </c>
      <c r="G322" s="16">
        <v>96.038252335386161</v>
      </c>
      <c r="H322" s="17">
        <f t="shared" si="17"/>
        <v>1</v>
      </c>
      <c r="I322" s="17">
        <f t="shared" si="18"/>
        <v>2</v>
      </c>
      <c r="J322" s="18">
        <f t="shared" si="19"/>
        <v>0.25</v>
      </c>
      <c r="K322" s="18">
        <f t="shared" si="16"/>
        <v>5</v>
      </c>
      <c r="L322" s="22" t="s">
        <v>301</v>
      </c>
    </row>
    <row r="323" spans="1:12" x14ac:dyDescent="0.3">
      <c r="A323" s="11" t="str">
        <f>Tb_Dados[[#This Row],[CÓD]]&amp;Tb_Dados[[#This Row],[PRODUTO]]&amp;Tb_Dados[[#This Row],[MEDIDA]]</f>
        <v>2867BOX MILLENIUM BLACK1280X1880X250</v>
      </c>
      <c r="B323" s="12" t="s">
        <v>13</v>
      </c>
      <c r="C323" s="13">
        <v>2867</v>
      </c>
      <c r="D323" s="14" t="s">
        <v>117</v>
      </c>
      <c r="E323" s="13" t="s">
        <v>34</v>
      </c>
      <c r="F323" s="15">
        <v>221.99916351342483</v>
      </c>
      <c r="G323" s="16">
        <v>110.99958175671242</v>
      </c>
      <c r="H323" s="17">
        <f t="shared" si="17"/>
        <v>1.28</v>
      </c>
      <c r="I323" s="17">
        <f t="shared" si="18"/>
        <v>1.88</v>
      </c>
      <c r="J323" s="18">
        <f t="shared" si="19"/>
        <v>0.25</v>
      </c>
      <c r="K323" s="18">
        <f t="shared" si="16"/>
        <v>6.016</v>
      </c>
      <c r="L323" s="22" t="s">
        <v>302</v>
      </c>
    </row>
    <row r="324" spans="1:12" x14ac:dyDescent="0.3">
      <c r="A324" s="11" t="str">
        <f>Tb_Dados[[#This Row],[CÓD]]&amp;Tb_Dados[[#This Row],[PRODUTO]]&amp;Tb_Dados[[#This Row],[MEDIDA]]</f>
        <v>2867BOX MILLENIUM BLACK1380X1880X250</v>
      </c>
      <c r="B324" s="12" t="s">
        <v>13</v>
      </c>
      <c r="C324" s="13">
        <v>2867</v>
      </c>
      <c r="D324" s="14" t="s">
        <v>117</v>
      </c>
      <c r="E324" s="13" t="s">
        <v>37</v>
      </c>
      <c r="F324" s="15">
        <v>221.99916351342483</v>
      </c>
      <c r="G324" s="16">
        <v>110.99958175671242</v>
      </c>
      <c r="H324" s="17">
        <f t="shared" si="17"/>
        <v>1.38</v>
      </c>
      <c r="I324" s="17">
        <f t="shared" si="18"/>
        <v>1.88</v>
      </c>
      <c r="J324" s="18">
        <f t="shared" si="19"/>
        <v>0.25</v>
      </c>
      <c r="K324" s="18">
        <f t="shared" si="16"/>
        <v>6.4859999999999998</v>
      </c>
      <c r="L324" s="22" t="s">
        <v>303</v>
      </c>
    </row>
    <row r="325" spans="1:12" x14ac:dyDescent="0.3">
      <c r="A325" s="11" t="str">
        <f>Tb_Dados[[#This Row],[CÓD]]&amp;Tb_Dados[[#This Row],[PRODUTO]]&amp;Tb_Dados[[#This Row],[MEDIDA]]</f>
        <v>3470BOX BIPARTIDO MILLENIUM BLACK1580X1980X250</v>
      </c>
      <c r="B325" s="12" t="s">
        <v>13</v>
      </c>
      <c r="C325" s="13">
        <v>3470</v>
      </c>
      <c r="D325" s="14" t="s">
        <v>63</v>
      </c>
      <c r="E325" s="13" t="s">
        <v>41</v>
      </c>
      <c r="F325" s="15">
        <v>333.61683162067459</v>
      </c>
      <c r="G325" s="16">
        <v>83.404207905168647</v>
      </c>
      <c r="H325" s="17">
        <f t="shared" si="17"/>
        <v>1.58</v>
      </c>
      <c r="I325" s="17">
        <f t="shared" si="18"/>
        <v>1.98</v>
      </c>
      <c r="J325" s="18">
        <f t="shared" si="19"/>
        <v>0.25</v>
      </c>
      <c r="K325" s="18">
        <f t="shared" si="16"/>
        <v>7.8209999999999997</v>
      </c>
      <c r="L325" s="22" t="s">
        <v>304</v>
      </c>
    </row>
    <row r="326" spans="1:12" x14ac:dyDescent="0.3">
      <c r="A326" s="11" t="str">
        <f>Tb_Dados[[#This Row],[CÓD]]&amp;Tb_Dados[[#This Row],[PRODUTO]]&amp;Tb_Dados[[#This Row],[MEDIDA]]</f>
        <v>3470BOX BIPARTIDO MILLENIUM BLACK1930X2030X250</v>
      </c>
      <c r="B326" s="12" t="s">
        <v>13</v>
      </c>
      <c r="C326" s="13">
        <v>3470</v>
      </c>
      <c r="D326" s="14" t="s">
        <v>63</v>
      </c>
      <c r="E326" s="13" t="s">
        <v>44</v>
      </c>
      <c r="F326" s="15">
        <v>377.93048172554455</v>
      </c>
      <c r="G326" s="16">
        <v>94.482620431386138</v>
      </c>
      <c r="H326" s="17">
        <f t="shared" si="17"/>
        <v>1.93</v>
      </c>
      <c r="I326" s="17">
        <f t="shared" si="18"/>
        <v>2.0299999999999998</v>
      </c>
      <c r="J326" s="18">
        <f t="shared" si="19"/>
        <v>0.25</v>
      </c>
      <c r="K326" s="18">
        <f t="shared" ref="K326:K389" si="20">H326*I326*J326*10</f>
        <v>9.7947499999999987</v>
      </c>
      <c r="L326" s="22" t="s">
        <v>305</v>
      </c>
    </row>
    <row r="327" spans="1:12" x14ac:dyDescent="0.3">
      <c r="A327" s="11" t="str">
        <f>Tb_Dados[[#This Row],[CÓD]]&amp;Tb_Dados[[#This Row],[PRODUTO]]&amp;Tb_Dados[[#This Row],[MEDIDA]]</f>
        <v>2867BOX MILLENIUM BLACK880X1880X300</v>
      </c>
      <c r="B327" s="12" t="s">
        <v>13</v>
      </c>
      <c r="C327" s="13">
        <v>2867</v>
      </c>
      <c r="D327" s="14" t="s">
        <v>117</v>
      </c>
      <c r="E327" s="13" t="s">
        <v>47</v>
      </c>
      <c r="F327" s="15">
        <v>173.66362077315534</v>
      </c>
      <c r="G327" s="16">
        <v>86.831810386577672</v>
      </c>
      <c r="H327" s="17">
        <f t="shared" ref="H327:H390" si="21">IF($E327="","",_xlfn.TEXTBEFORE($E327,"X")/1000)</f>
        <v>0.88</v>
      </c>
      <c r="I327" s="17">
        <f t="shared" ref="I327:I390" si="22">IF($E327="","",_xlfn.TEXTBEFORE(_xlfn.TEXTAFTER($E327,"X"),"X")/1000)</f>
        <v>1.88</v>
      </c>
      <c r="J327" s="18">
        <f t="shared" ref="J327:J390" si="23">IF($E327="","",_xlfn.TEXTAFTER($E327,"X",2)/1000)</f>
        <v>0.3</v>
      </c>
      <c r="K327" s="18">
        <f t="shared" si="20"/>
        <v>4.9631999999999996</v>
      </c>
      <c r="L327" s="22" t="s">
        <v>306</v>
      </c>
    </row>
    <row r="328" spans="1:12" x14ac:dyDescent="0.3">
      <c r="A328" s="11" t="str">
        <f>Tb_Dados[[#This Row],[CÓD]]&amp;Tb_Dados[[#This Row],[PRODUTO]]&amp;Tb_Dados[[#This Row],[MEDIDA]]</f>
        <v>2867BOX MILLENIUM BLACK1000X2000X300</v>
      </c>
      <c r="B328" s="12" t="s">
        <v>13</v>
      </c>
      <c r="C328" s="13">
        <v>2867</v>
      </c>
      <c r="D328" s="14" t="s">
        <v>117</v>
      </c>
      <c r="E328" s="13" t="s">
        <v>234</v>
      </c>
      <c r="F328" s="15">
        <v>197.19018350807738</v>
      </c>
      <c r="G328" s="16">
        <v>98.595091754038691</v>
      </c>
      <c r="H328" s="17">
        <f t="shared" si="21"/>
        <v>1</v>
      </c>
      <c r="I328" s="17">
        <f t="shared" si="22"/>
        <v>2</v>
      </c>
      <c r="J328" s="18">
        <f t="shared" si="23"/>
        <v>0.3</v>
      </c>
      <c r="K328" s="18">
        <f t="shared" si="20"/>
        <v>6</v>
      </c>
      <c r="L328" s="22" t="s">
        <v>307</v>
      </c>
    </row>
    <row r="329" spans="1:12" x14ac:dyDescent="0.3">
      <c r="A329" s="11" t="str">
        <f>Tb_Dados[[#This Row],[CÓD]]&amp;Tb_Dados[[#This Row],[PRODUTO]]&amp;Tb_Dados[[#This Row],[MEDIDA]]</f>
        <v>2867BOX MILLENIUM BLACK1280X1880X300</v>
      </c>
      <c r="B329" s="12" t="s">
        <v>13</v>
      </c>
      <c r="C329" s="13">
        <v>2867</v>
      </c>
      <c r="D329" s="14" t="s">
        <v>117</v>
      </c>
      <c r="E329" s="13" t="s">
        <v>50</v>
      </c>
      <c r="F329" s="15">
        <v>228.46356137046044</v>
      </c>
      <c r="G329" s="16">
        <v>114.23178068523022</v>
      </c>
      <c r="H329" s="17">
        <f t="shared" si="21"/>
        <v>1.28</v>
      </c>
      <c r="I329" s="17">
        <f t="shared" si="22"/>
        <v>1.88</v>
      </c>
      <c r="J329" s="18">
        <f t="shared" si="23"/>
        <v>0.3</v>
      </c>
      <c r="K329" s="18">
        <f t="shared" si="20"/>
        <v>7.2191999999999998</v>
      </c>
      <c r="L329" s="22" t="s">
        <v>308</v>
      </c>
    </row>
    <row r="330" spans="1:12" x14ac:dyDescent="0.3">
      <c r="A330" s="11" t="str">
        <f>Tb_Dados[[#This Row],[CÓD]]&amp;Tb_Dados[[#This Row],[PRODUTO]]&amp;Tb_Dados[[#This Row],[MEDIDA]]</f>
        <v>2867BOX MILLENIUM BLACK1380X1880X300</v>
      </c>
      <c r="B330" s="12" t="s">
        <v>13</v>
      </c>
      <c r="C330" s="13">
        <v>2867</v>
      </c>
      <c r="D330" s="14" t="s">
        <v>117</v>
      </c>
      <c r="E330" s="13" t="s">
        <v>53</v>
      </c>
      <c r="F330" s="15">
        <v>228.46356137046044</v>
      </c>
      <c r="G330" s="16">
        <v>114.23178068523022</v>
      </c>
      <c r="H330" s="17">
        <f t="shared" si="21"/>
        <v>1.38</v>
      </c>
      <c r="I330" s="17">
        <f t="shared" si="22"/>
        <v>1.88</v>
      </c>
      <c r="J330" s="18">
        <f t="shared" si="23"/>
        <v>0.3</v>
      </c>
      <c r="K330" s="18">
        <f t="shared" si="20"/>
        <v>7.783199999999999</v>
      </c>
      <c r="L330" s="22" t="s">
        <v>309</v>
      </c>
    </row>
    <row r="331" spans="1:12" x14ac:dyDescent="0.3">
      <c r="A331" s="11" t="str">
        <f>Tb_Dados[[#This Row],[CÓD]]&amp;Tb_Dados[[#This Row],[PRODUTO]]&amp;Tb_Dados[[#This Row],[MEDIDA]]</f>
        <v>3470BOX BIPARTIDO MILLENIUM BLACK1580X1980X300</v>
      </c>
      <c r="B331" s="12" t="s">
        <v>13</v>
      </c>
      <c r="C331" s="13">
        <v>3470</v>
      </c>
      <c r="D331" s="14" t="s">
        <v>63</v>
      </c>
      <c r="E331" s="13" t="s">
        <v>56</v>
      </c>
      <c r="F331" s="15">
        <v>345.61823060231069</v>
      </c>
      <c r="G331" s="16">
        <v>86.404557650577672</v>
      </c>
      <c r="H331" s="17">
        <f t="shared" si="21"/>
        <v>1.58</v>
      </c>
      <c r="I331" s="17">
        <f t="shared" si="22"/>
        <v>1.98</v>
      </c>
      <c r="J331" s="18">
        <f t="shared" si="23"/>
        <v>0.3</v>
      </c>
      <c r="K331" s="18">
        <f t="shared" si="20"/>
        <v>9.3852000000000011</v>
      </c>
      <c r="L331" s="22" t="s">
        <v>310</v>
      </c>
    </row>
    <row r="332" spans="1:12" x14ac:dyDescent="0.3">
      <c r="A332" s="11" t="str">
        <f>Tb_Dados[[#This Row],[CÓD]]&amp;Tb_Dados[[#This Row],[PRODUTO]]&amp;Tb_Dados[[#This Row],[MEDIDA]]</f>
        <v>3470BOX BIPARTIDO MILLENIUM BLACK1930X2030X300</v>
      </c>
      <c r="B332" s="12" t="s">
        <v>13</v>
      </c>
      <c r="C332" s="13">
        <v>3470</v>
      </c>
      <c r="D332" s="14" t="s">
        <v>63</v>
      </c>
      <c r="E332" s="13" t="s">
        <v>58</v>
      </c>
      <c r="F332" s="15">
        <v>389.29343940015474</v>
      </c>
      <c r="G332" s="16">
        <v>97.323359850038685</v>
      </c>
      <c r="H332" s="17">
        <f t="shared" si="21"/>
        <v>1.93</v>
      </c>
      <c r="I332" s="17">
        <f t="shared" si="22"/>
        <v>2.0299999999999998</v>
      </c>
      <c r="J332" s="18">
        <f t="shared" si="23"/>
        <v>0.3</v>
      </c>
      <c r="K332" s="18">
        <f t="shared" si="20"/>
        <v>11.753699999999998</v>
      </c>
      <c r="L332" s="22" t="s">
        <v>311</v>
      </c>
    </row>
    <row r="333" spans="1:12" x14ac:dyDescent="0.3">
      <c r="A333" s="11" t="str">
        <f>Tb_Dados[[#This Row],[CÓD]]&amp;Tb_Dados[[#This Row],[PRODUTO]]&amp;Tb_Dados[[#This Row],[MEDIDA]]</f>
        <v>2867BOX MILLENIUM CINZA880X1880X250</v>
      </c>
      <c r="B333" s="12" t="s">
        <v>13</v>
      </c>
      <c r="C333" s="13">
        <v>2867</v>
      </c>
      <c r="D333" s="14" t="s">
        <v>118</v>
      </c>
      <c r="E333" s="13" t="s">
        <v>31</v>
      </c>
      <c r="F333" s="15">
        <v>167.96991272233731</v>
      </c>
      <c r="G333" s="16">
        <v>83.984956361168656</v>
      </c>
      <c r="H333" s="17">
        <f t="shared" si="21"/>
        <v>0.88</v>
      </c>
      <c r="I333" s="17">
        <f t="shared" si="22"/>
        <v>1.88</v>
      </c>
      <c r="J333" s="18">
        <f t="shared" si="23"/>
        <v>0.25</v>
      </c>
      <c r="K333" s="18">
        <f t="shared" si="20"/>
        <v>4.1359999999999992</v>
      </c>
      <c r="L333" s="22" t="s">
        <v>312</v>
      </c>
    </row>
    <row r="334" spans="1:12" x14ac:dyDescent="0.3">
      <c r="A334" s="11" t="str">
        <f>Tb_Dados[[#This Row],[CÓD]]&amp;Tb_Dados[[#This Row],[PRODUTO]]&amp;Tb_Dados[[#This Row],[MEDIDA]]</f>
        <v>2867BOX MILLENIUM CINZA1000X2000X250</v>
      </c>
      <c r="B334" s="12" t="s">
        <v>13</v>
      </c>
      <c r="C334" s="13">
        <v>2867</v>
      </c>
      <c r="D334" s="14" t="s">
        <v>118</v>
      </c>
      <c r="E334" s="13" t="s">
        <v>232</v>
      </c>
      <c r="F334" s="15">
        <v>192.40542407077231</v>
      </c>
      <c r="G334" s="16">
        <v>96.202712035386156</v>
      </c>
      <c r="H334" s="17">
        <f t="shared" si="21"/>
        <v>1</v>
      </c>
      <c r="I334" s="17">
        <f t="shared" si="22"/>
        <v>2</v>
      </c>
      <c r="J334" s="18">
        <f t="shared" si="23"/>
        <v>0.25</v>
      </c>
      <c r="K334" s="18">
        <f t="shared" si="20"/>
        <v>5</v>
      </c>
      <c r="L334" s="22" t="s">
        <v>313</v>
      </c>
    </row>
    <row r="335" spans="1:12" x14ac:dyDescent="0.3">
      <c r="A335" s="11" t="str">
        <f>Tb_Dados[[#This Row],[CÓD]]&amp;Tb_Dados[[#This Row],[PRODUTO]]&amp;Tb_Dados[[#This Row],[MEDIDA]]</f>
        <v>2867BOX MILLENIUM CINZA1280X1880X250</v>
      </c>
      <c r="B335" s="12" t="s">
        <v>13</v>
      </c>
      <c r="C335" s="13">
        <v>2867</v>
      </c>
      <c r="D335" s="14" t="s">
        <v>118</v>
      </c>
      <c r="E335" s="13" t="s">
        <v>34</v>
      </c>
      <c r="F335" s="15">
        <v>222.36097485342484</v>
      </c>
      <c r="G335" s="16">
        <v>111.18048742671242</v>
      </c>
      <c r="H335" s="17">
        <f t="shared" si="21"/>
        <v>1.28</v>
      </c>
      <c r="I335" s="17">
        <f t="shared" si="22"/>
        <v>1.88</v>
      </c>
      <c r="J335" s="18">
        <f t="shared" si="23"/>
        <v>0.25</v>
      </c>
      <c r="K335" s="18">
        <f t="shared" si="20"/>
        <v>6.016</v>
      </c>
      <c r="L335" s="22" t="s">
        <v>314</v>
      </c>
    </row>
    <row r="336" spans="1:12" x14ac:dyDescent="0.3">
      <c r="A336" s="11" t="str">
        <f>Tb_Dados[[#This Row],[CÓD]]&amp;Tb_Dados[[#This Row],[PRODUTO]]&amp;Tb_Dados[[#This Row],[MEDIDA]]</f>
        <v>2867BOX MILLENIUM CINZA1380X1880X250</v>
      </c>
      <c r="B336" s="12" t="s">
        <v>13</v>
      </c>
      <c r="C336" s="13">
        <v>2867</v>
      </c>
      <c r="D336" s="14" t="s">
        <v>118</v>
      </c>
      <c r="E336" s="13" t="s">
        <v>37</v>
      </c>
      <c r="F336" s="15">
        <v>222.36097485342484</v>
      </c>
      <c r="G336" s="16">
        <v>111.18048742671242</v>
      </c>
      <c r="H336" s="17">
        <f t="shared" si="21"/>
        <v>1.38</v>
      </c>
      <c r="I336" s="17">
        <f t="shared" si="22"/>
        <v>1.88</v>
      </c>
      <c r="J336" s="18">
        <f t="shared" si="23"/>
        <v>0.25</v>
      </c>
      <c r="K336" s="18">
        <f t="shared" si="20"/>
        <v>6.4859999999999998</v>
      </c>
      <c r="L336" s="22" t="s">
        <v>315</v>
      </c>
    </row>
    <row r="337" spans="1:12" x14ac:dyDescent="0.3">
      <c r="A337" s="11" t="str">
        <f>Tb_Dados[[#This Row],[CÓD]]&amp;Tb_Dados[[#This Row],[PRODUTO]]&amp;Tb_Dados[[#This Row],[MEDIDA]]</f>
        <v>3470BOX BIPARTIDO MILLENIUM CINZA1580X1980X250</v>
      </c>
      <c r="B337" s="12" t="s">
        <v>13</v>
      </c>
      <c r="C337" s="13">
        <v>3470</v>
      </c>
      <c r="D337" s="14" t="s">
        <v>65</v>
      </c>
      <c r="E337" s="13" t="s">
        <v>41</v>
      </c>
      <c r="F337" s="15">
        <v>334.23081450067463</v>
      </c>
      <c r="G337" s="16">
        <v>83.557703625168656</v>
      </c>
      <c r="H337" s="17">
        <f t="shared" si="21"/>
        <v>1.58</v>
      </c>
      <c r="I337" s="17">
        <f t="shared" si="22"/>
        <v>1.98</v>
      </c>
      <c r="J337" s="18">
        <f t="shared" si="23"/>
        <v>0.25</v>
      </c>
      <c r="K337" s="18">
        <f t="shared" si="20"/>
        <v>7.8209999999999997</v>
      </c>
      <c r="L337" s="22" t="s">
        <v>316</v>
      </c>
    </row>
    <row r="338" spans="1:12" x14ac:dyDescent="0.3">
      <c r="A338" s="11" t="str">
        <f>Tb_Dados[[#This Row],[CÓD]]&amp;Tb_Dados[[#This Row],[PRODUTO]]&amp;Tb_Dados[[#This Row],[MEDIDA]]</f>
        <v>3470BOX BIPARTIDO MILLENIUM CINZA1930X2030X250</v>
      </c>
      <c r="B338" s="12" t="s">
        <v>13</v>
      </c>
      <c r="C338" s="13">
        <v>3470</v>
      </c>
      <c r="D338" s="14" t="s">
        <v>65</v>
      </c>
      <c r="E338" s="13" t="s">
        <v>44</v>
      </c>
      <c r="F338" s="15">
        <v>378.58832052554459</v>
      </c>
      <c r="G338" s="16">
        <v>94.647080131386147</v>
      </c>
      <c r="H338" s="17">
        <f t="shared" si="21"/>
        <v>1.93</v>
      </c>
      <c r="I338" s="17">
        <f t="shared" si="22"/>
        <v>2.0299999999999998</v>
      </c>
      <c r="J338" s="18">
        <f t="shared" si="23"/>
        <v>0.25</v>
      </c>
      <c r="K338" s="18">
        <f t="shared" si="20"/>
        <v>9.7947499999999987</v>
      </c>
      <c r="L338" s="22" t="s">
        <v>317</v>
      </c>
    </row>
    <row r="339" spans="1:12" x14ac:dyDescent="0.3">
      <c r="A339" s="11" t="str">
        <f>Tb_Dados[[#This Row],[CÓD]]&amp;Tb_Dados[[#This Row],[PRODUTO]]&amp;Tb_Dados[[#This Row],[MEDIDA]]</f>
        <v>2867BOX MILLENIUM CINZA880X1880X300</v>
      </c>
      <c r="B339" s="12" t="s">
        <v>13</v>
      </c>
      <c r="C339" s="13">
        <v>2867</v>
      </c>
      <c r="D339" s="14" t="s">
        <v>118</v>
      </c>
      <c r="E339" s="13" t="s">
        <v>47</v>
      </c>
      <c r="F339" s="15">
        <v>174.03201050115533</v>
      </c>
      <c r="G339" s="16">
        <v>87.016005250577663</v>
      </c>
      <c r="H339" s="17">
        <f t="shared" si="21"/>
        <v>0.88</v>
      </c>
      <c r="I339" s="17">
        <f t="shared" si="22"/>
        <v>1.88</v>
      </c>
      <c r="J339" s="18">
        <f t="shared" si="23"/>
        <v>0.3</v>
      </c>
      <c r="K339" s="18">
        <f t="shared" si="20"/>
        <v>4.9631999999999996</v>
      </c>
      <c r="L339" s="22" t="s">
        <v>318</v>
      </c>
    </row>
    <row r="340" spans="1:12" x14ac:dyDescent="0.3">
      <c r="A340" s="11" t="str">
        <f>Tb_Dados[[#This Row],[CÓD]]&amp;Tb_Dados[[#This Row],[PRODUTO]]&amp;Tb_Dados[[#This Row],[MEDIDA]]</f>
        <v>2867BOX MILLENIUM CINZA1000X2000X300</v>
      </c>
      <c r="B340" s="12" t="s">
        <v>13</v>
      </c>
      <c r="C340" s="13">
        <v>2867</v>
      </c>
      <c r="D340" s="14" t="s">
        <v>118</v>
      </c>
      <c r="E340" s="13" t="s">
        <v>234</v>
      </c>
      <c r="F340" s="15">
        <v>197.58488678807737</v>
      </c>
      <c r="G340" s="16">
        <v>98.792443394038685</v>
      </c>
      <c r="H340" s="17">
        <f t="shared" si="21"/>
        <v>1</v>
      </c>
      <c r="I340" s="17">
        <f t="shared" si="22"/>
        <v>2</v>
      </c>
      <c r="J340" s="18">
        <f t="shared" si="23"/>
        <v>0.3</v>
      </c>
      <c r="K340" s="18">
        <f t="shared" si="20"/>
        <v>6</v>
      </c>
      <c r="L340" s="22" t="s">
        <v>319</v>
      </c>
    </row>
    <row r="341" spans="1:12" x14ac:dyDescent="0.3">
      <c r="A341" s="11" t="str">
        <f>Tb_Dados[[#This Row],[CÓD]]&amp;Tb_Dados[[#This Row],[PRODUTO]]&amp;Tb_Dados[[#This Row],[MEDIDA]]</f>
        <v>2867BOX MILLENIUM CINZA1280X1880X300</v>
      </c>
      <c r="B341" s="12" t="s">
        <v>13</v>
      </c>
      <c r="C341" s="13">
        <v>2867</v>
      </c>
      <c r="D341" s="14" t="s">
        <v>118</v>
      </c>
      <c r="E341" s="13" t="s">
        <v>50</v>
      </c>
      <c r="F341" s="15">
        <v>228.89773497846045</v>
      </c>
      <c r="G341" s="16">
        <v>114.44886748923022</v>
      </c>
      <c r="H341" s="17">
        <f t="shared" si="21"/>
        <v>1.28</v>
      </c>
      <c r="I341" s="17">
        <f t="shared" si="22"/>
        <v>1.88</v>
      </c>
      <c r="J341" s="18">
        <f t="shared" si="23"/>
        <v>0.3</v>
      </c>
      <c r="K341" s="18">
        <f t="shared" si="20"/>
        <v>7.2191999999999998</v>
      </c>
      <c r="L341" s="22" t="s">
        <v>320</v>
      </c>
    </row>
    <row r="342" spans="1:12" x14ac:dyDescent="0.3">
      <c r="A342" s="11" t="str">
        <f>Tb_Dados[[#This Row],[CÓD]]&amp;Tb_Dados[[#This Row],[PRODUTO]]&amp;Tb_Dados[[#This Row],[MEDIDA]]</f>
        <v>2867BOX MILLENIUM CINZA1380X1880X300</v>
      </c>
      <c r="B342" s="12" t="s">
        <v>13</v>
      </c>
      <c r="C342" s="13">
        <v>2867</v>
      </c>
      <c r="D342" s="14" t="s">
        <v>118</v>
      </c>
      <c r="E342" s="13" t="s">
        <v>53</v>
      </c>
      <c r="F342" s="15">
        <v>228.89773497846045</v>
      </c>
      <c r="G342" s="16">
        <v>114.44886748923022</v>
      </c>
      <c r="H342" s="17">
        <f t="shared" si="21"/>
        <v>1.38</v>
      </c>
      <c r="I342" s="17">
        <f t="shared" si="22"/>
        <v>1.88</v>
      </c>
      <c r="J342" s="18">
        <f t="shared" si="23"/>
        <v>0.3</v>
      </c>
      <c r="K342" s="18">
        <f t="shared" si="20"/>
        <v>7.783199999999999</v>
      </c>
      <c r="L342" s="22" t="s">
        <v>321</v>
      </c>
    </row>
    <row r="343" spans="1:12" x14ac:dyDescent="0.3">
      <c r="A343" s="11" t="str">
        <f>Tb_Dados[[#This Row],[CÓD]]&amp;Tb_Dados[[#This Row],[PRODUTO]]&amp;Tb_Dados[[#This Row],[MEDIDA]]</f>
        <v>3470BOX BIPARTIDO MILLENIUM CINZA1580X1980X300</v>
      </c>
      <c r="B343" s="12" t="s">
        <v>13</v>
      </c>
      <c r="C343" s="13">
        <v>3470</v>
      </c>
      <c r="D343" s="14" t="s">
        <v>65</v>
      </c>
      <c r="E343" s="13" t="s">
        <v>56</v>
      </c>
      <c r="F343" s="15">
        <v>346.35501005831071</v>
      </c>
      <c r="G343" s="16">
        <v>86.588752514577678</v>
      </c>
      <c r="H343" s="17">
        <f t="shared" si="21"/>
        <v>1.58</v>
      </c>
      <c r="I343" s="17">
        <f t="shared" si="22"/>
        <v>1.98</v>
      </c>
      <c r="J343" s="18">
        <f t="shared" si="23"/>
        <v>0.3</v>
      </c>
      <c r="K343" s="18">
        <f t="shared" si="20"/>
        <v>9.3852000000000011</v>
      </c>
      <c r="L343" s="22" t="s">
        <v>322</v>
      </c>
    </row>
    <row r="344" spans="1:12" x14ac:dyDescent="0.3">
      <c r="A344" s="11" t="str">
        <f>Tb_Dados[[#This Row],[CÓD]]&amp;Tb_Dados[[#This Row],[PRODUTO]]&amp;Tb_Dados[[#This Row],[MEDIDA]]</f>
        <v>3470BOX BIPARTIDO MILLENIUM CINZA1930X2030X300</v>
      </c>
      <c r="B344" s="12" t="s">
        <v>13</v>
      </c>
      <c r="C344" s="13">
        <v>3470</v>
      </c>
      <c r="D344" s="14" t="s">
        <v>65</v>
      </c>
      <c r="E344" s="13" t="s">
        <v>58</v>
      </c>
      <c r="F344" s="15">
        <v>390.08284596015477</v>
      </c>
      <c r="G344" s="16">
        <v>97.520711490038693</v>
      </c>
      <c r="H344" s="17">
        <f t="shared" si="21"/>
        <v>1.93</v>
      </c>
      <c r="I344" s="17">
        <f t="shared" si="22"/>
        <v>2.0299999999999998</v>
      </c>
      <c r="J344" s="18">
        <f t="shared" si="23"/>
        <v>0.3</v>
      </c>
      <c r="K344" s="18">
        <f t="shared" si="20"/>
        <v>11.753699999999998</v>
      </c>
      <c r="L344" s="22" t="s">
        <v>323</v>
      </c>
    </row>
    <row r="345" spans="1:12" x14ac:dyDescent="0.3">
      <c r="A345" s="11" t="str">
        <f>Tb_Dados[[#This Row],[CÓD]]&amp;Tb_Dados[[#This Row],[PRODUTO]]&amp;Tb_Dados[[#This Row],[MEDIDA]]</f>
        <v>2867BOX MILLENIUM MARROM880X1880X250</v>
      </c>
      <c r="B345" s="12" t="s">
        <v>13</v>
      </c>
      <c r="C345" s="13">
        <v>2867</v>
      </c>
      <c r="D345" s="14" t="s">
        <v>120</v>
      </c>
      <c r="E345" s="13" t="s">
        <v>31</v>
      </c>
      <c r="F345" s="15">
        <v>167.96991272233731</v>
      </c>
      <c r="G345" s="16">
        <v>83.984956361168656</v>
      </c>
      <c r="H345" s="17">
        <f t="shared" si="21"/>
        <v>0.88</v>
      </c>
      <c r="I345" s="17">
        <f t="shared" si="22"/>
        <v>1.88</v>
      </c>
      <c r="J345" s="18">
        <f t="shared" si="23"/>
        <v>0.25</v>
      </c>
      <c r="K345" s="18">
        <f t="shared" si="20"/>
        <v>4.1359999999999992</v>
      </c>
      <c r="L345" s="22" t="s">
        <v>324</v>
      </c>
    </row>
    <row r="346" spans="1:12" x14ac:dyDescent="0.3">
      <c r="A346" s="11" t="str">
        <f>Tb_Dados[[#This Row],[CÓD]]&amp;Tb_Dados[[#This Row],[PRODUTO]]&amp;Tb_Dados[[#This Row],[MEDIDA]]</f>
        <v>2867BOX MILLENIUM MARROM1000X2000X250</v>
      </c>
      <c r="B346" s="12" t="s">
        <v>13</v>
      </c>
      <c r="C346" s="13">
        <v>2867</v>
      </c>
      <c r="D346" s="14" t="s">
        <v>120</v>
      </c>
      <c r="E346" s="13" t="s">
        <v>232</v>
      </c>
      <c r="F346" s="15">
        <v>192.40542407077231</v>
      </c>
      <c r="G346" s="16">
        <v>96.202712035386156</v>
      </c>
      <c r="H346" s="17">
        <f t="shared" si="21"/>
        <v>1</v>
      </c>
      <c r="I346" s="17">
        <f t="shared" si="22"/>
        <v>2</v>
      </c>
      <c r="J346" s="18">
        <f t="shared" si="23"/>
        <v>0.25</v>
      </c>
      <c r="K346" s="18">
        <f t="shared" si="20"/>
        <v>5</v>
      </c>
      <c r="L346" s="22" t="s">
        <v>325</v>
      </c>
    </row>
    <row r="347" spans="1:12" x14ac:dyDescent="0.3">
      <c r="A347" s="11" t="str">
        <f>Tb_Dados[[#This Row],[CÓD]]&amp;Tb_Dados[[#This Row],[PRODUTO]]&amp;Tb_Dados[[#This Row],[MEDIDA]]</f>
        <v>2867BOX MILLENIUM MARROM1280X1880X250</v>
      </c>
      <c r="B347" s="12" t="s">
        <v>13</v>
      </c>
      <c r="C347" s="13">
        <v>2867</v>
      </c>
      <c r="D347" s="14" t="s">
        <v>120</v>
      </c>
      <c r="E347" s="13" t="s">
        <v>34</v>
      </c>
      <c r="F347" s="15">
        <v>222.36097485342484</v>
      </c>
      <c r="G347" s="16">
        <v>111.18048742671242</v>
      </c>
      <c r="H347" s="17">
        <f t="shared" si="21"/>
        <v>1.28</v>
      </c>
      <c r="I347" s="17">
        <f t="shared" si="22"/>
        <v>1.88</v>
      </c>
      <c r="J347" s="18">
        <f t="shared" si="23"/>
        <v>0.25</v>
      </c>
      <c r="K347" s="18">
        <f t="shared" si="20"/>
        <v>6.016</v>
      </c>
      <c r="L347" s="22" t="s">
        <v>326</v>
      </c>
    </row>
    <row r="348" spans="1:12" x14ac:dyDescent="0.3">
      <c r="A348" s="11" t="str">
        <f>Tb_Dados[[#This Row],[CÓD]]&amp;Tb_Dados[[#This Row],[PRODUTO]]&amp;Tb_Dados[[#This Row],[MEDIDA]]</f>
        <v>2867BOX MILLENIUM MARROM1380X1880X250</v>
      </c>
      <c r="B348" s="12" t="s">
        <v>13</v>
      </c>
      <c r="C348" s="13">
        <v>2867</v>
      </c>
      <c r="D348" s="14" t="s">
        <v>120</v>
      </c>
      <c r="E348" s="13" t="s">
        <v>37</v>
      </c>
      <c r="F348" s="15">
        <v>222.36097485342484</v>
      </c>
      <c r="G348" s="16">
        <v>111.18048742671242</v>
      </c>
      <c r="H348" s="17">
        <f t="shared" si="21"/>
        <v>1.38</v>
      </c>
      <c r="I348" s="17">
        <f t="shared" si="22"/>
        <v>1.88</v>
      </c>
      <c r="J348" s="18">
        <f t="shared" si="23"/>
        <v>0.25</v>
      </c>
      <c r="K348" s="18">
        <f t="shared" si="20"/>
        <v>6.4859999999999998</v>
      </c>
      <c r="L348" s="22" t="s">
        <v>327</v>
      </c>
    </row>
    <row r="349" spans="1:12" x14ac:dyDescent="0.3">
      <c r="A349" s="11" t="str">
        <f>Tb_Dados[[#This Row],[CÓD]]&amp;Tb_Dados[[#This Row],[PRODUTO]]&amp;Tb_Dados[[#This Row],[MEDIDA]]</f>
        <v>3470BOX BIPARTIDO MILLENIUM MARROM1580X1980X250</v>
      </c>
      <c r="B349" s="12" t="s">
        <v>13</v>
      </c>
      <c r="C349" s="13">
        <v>3470</v>
      </c>
      <c r="D349" s="14" t="s">
        <v>66</v>
      </c>
      <c r="E349" s="13" t="s">
        <v>41</v>
      </c>
      <c r="F349" s="15">
        <v>334.23081450067463</v>
      </c>
      <c r="G349" s="16">
        <v>83.557703625168656</v>
      </c>
      <c r="H349" s="17">
        <f t="shared" si="21"/>
        <v>1.58</v>
      </c>
      <c r="I349" s="17">
        <f t="shared" si="22"/>
        <v>1.98</v>
      </c>
      <c r="J349" s="18">
        <f t="shared" si="23"/>
        <v>0.25</v>
      </c>
      <c r="K349" s="18">
        <f t="shared" si="20"/>
        <v>7.8209999999999997</v>
      </c>
      <c r="L349" s="22" t="s">
        <v>328</v>
      </c>
    </row>
    <row r="350" spans="1:12" x14ac:dyDescent="0.3">
      <c r="A350" s="11" t="str">
        <f>Tb_Dados[[#This Row],[CÓD]]&amp;Tb_Dados[[#This Row],[PRODUTO]]&amp;Tb_Dados[[#This Row],[MEDIDA]]</f>
        <v>3470BOX BIPARTIDO MILLENIUM MARROM1930X2030X250</v>
      </c>
      <c r="B350" s="12" t="s">
        <v>13</v>
      </c>
      <c r="C350" s="13">
        <v>3470</v>
      </c>
      <c r="D350" s="14" t="s">
        <v>66</v>
      </c>
      <c r="E350" s="13" t="s">
        <v>44</v>
      </c>
      <c r="F350" s="15">
        <v>378.58832052554459</v>
      </c>
      <c r="G350" s="16">
        <v>94.647080131386147</v>
      </c>
      <c r="H350" s="17">
        <f t="shared" si="21"/>
        <v>1.93</v>
      </c>
      <c r="I350" s="17">
        <f t="shared" si="22"/>
        <v>2.0299999999999998</v>
      </c>
      <c r="J350" s="18">
        <f t="shared" si="23"/>
        <v>0.25</v>
      </c>
      <c r="K350" s="18">
        <f t="shared" si="20"/>
        <v>9.7947499999999987</v>
      </c>
      <c r="L350" s="22" t="s">
        <v>329</v>
      </c>
    </row>
    <row r="351" spans="1:12" x14ac:dyDescent="0.3">
      <c r="A351" s="11" t="str">
        <f>Tb_Dados[[#This Row],[CÓD]]&amp;Tb_Dados[[#This Row],[PRODUTO]]&amp;Tb_Dados[[#This Row],[MEDIDA]]</f>
        <v>2867BOX MILLENIUM MARROM880X1880X300</v>
      </c>
      <c r="B351" s="12" t="s">
        <v>13</v>
      </c>
      <c r="C351" s="13">
        <v>2867</v>
      </c>
      <c r="D351" s="14" t="s">
        <v>120</v>
      </c>
      <c r="E351" s="13" t="s">
        <v>47</v>
      </c>
      <c r="F351" s="15">
        <v>174.03201050115533</v>
      </c>
      <c r="G351" s="16">
        <v>87.016005250577663</v>
      </c>
      <c r="H351" s="17">
        <f t="shared" si="21"/>
        <v>0.88</v>
      </c>
      <c r="I351" s="17">
        <f t="shared" si="22"/>
        <v>1.88</v>
      </c>
      <c r="J351" s="18">
        <f t="shared" si="23"/>
        <v>0.3</v>
      </c>
      <c r="K351" s="18">
        <f t="shared" si="20"/>
        <v>4.9631999999999996</v>
      </c>
      <c r="L351" s="22" t="s">
        <v>330</v>
      </c>
    </row>
    <row r="352" spans="1:12" x14ac:dyDescent="0.3">
      <c r="A352" s="11" t="str">
        <f>Tb_Dados[[#This Row],[CÓD]]&amp;Tb_Dados[[#This Row],[PRODUTO]]&amp;Tb_Dados[[#This Row],[MEDIDA]]</f>
        <v>2867BOX MILLENIUM MARROM1000X2000X300</v>
      </c>
      <c r="B352" s="12" t="s">
        <v>13</v>
      </c>
      <c r="C352" s="13">
        <v>2867</v>
      </c>
      <c r="D352" s="14" t="s">
        <v>120</v>
      </c>
      <c r="E352" s="13" t="s">
        <v>234</v>
      </c>
      <c r="F352" s="15">
        <v>197.58488678807737</v>
      </c>
      <c r="G352" s="16">
        <v>98.792443394038685</v>
      </c>
      <c r="H352" s="17">
        <f t="shared" si="21"/>
        <v>1</v>
      </c>
      <c r="I352" s="17">
        <f t="shared" si="22"/>
        <v>2</v>
      </c>
      <c r="J352" s="18">
        <f t="shared" si="23"/>
        <v>0.3</v>
      </c>
      <c r="K352" s="18">
        <f t="shared" si="20"/>
        <v>6</v>
      </c>
      <c r="L352" s="22" t="s">
        <v>331</v>
      </c>
    </row>
    <row r="353" spans="1:12" x14ac:dyDescent="0.3">
      <c r="A353" s="11" t="str">
        <f>Tb_Dados[[#This Row],[CÓD]]&amp;Tb_Dados[[#This Row],[PRODUTO]]&amp;Tb_Dados[[#This Row],[MEDIDA]]</f>
        <v>2867BOX MILLENIUM MARROM1280X1880X300</v>
      </c>
      <c r="B353" s="12" t="s">
        <v>13</v>
      </c>
      <c r="C353" s="13">
        <v>2867</v>
      </c>
      <c r="D353" s="14" t="s">
        <v>120</v>
      </c>
      <c r="E353" s="13" t="s">
        <v>50</v>
      </c>
      <c r="F353" s="15">
        <v>228.89773497846045</v>
      </c>
      <c r="G353" s="16">
        <v>114.44886748923022</v>
      </c>
      <c r="H353" s="17">
        <f t="shared" si="21"/>
        <v>1.28</v>
      </c>
      <c r="I353" s="17">
        <f t="shared" si="22"/>
        <v>1.88</v>
      </c>
      <c r="J353" s="18">
        <f t="shared" si="23"/>
        <v>0.3</v>
      </c>
      <c r="K353" s="18">
        <f t="shared" si="20"/>
        <v>7.2191999999999998</v>
      </c>
      <c r="L353" s="22" t="s">
        <v>332</v>
      </c>
    </row>
    <row r="354" spans="1:12" x14ac:dyDescent="0.3">
      <c r="A354" s="11" t="str">
        <f>Tb_Dados[[#This Row],[CÓD]]&amp;Tb_Dados[[#This Row],[PRODUTO]]&amp;Tb_Dados[[#This Row],[MEDIDA]]</f>
        <v>2867BOX MILLENIUM MARROM1380X1880X300</v>
      </c>
      <c r="B354" s="12" t="s">
        <v>13</v>
      </c>
      <c r="C354" s="13">
        <v>2867</v>
      </c>
      <c r="D354" s="14" t="s">
        <v>120</v>
      </c>
      <c r="E354" s="13" t="s">
        <v>53</v>
      </c>
      <c r="F354" s="15">
        <v>228.89773497846045</v>
      </c>
      <c r="G354" s="16">
        <v>114.44886748923022</v>
      </c>
      <c r="H354" s="17">
        <f t="shared" si="21"/>
        <v>1.38</v>
      </c>
      <c r="I354" s="17">
        <f t="shared" si="22"/>
        <v>1.88</v>
      </c>
      <c r="J354" s="18">
        <f t="shared" si="23"/>
        <v>0.3</v>
      </c>
      <c r="K354" s="18">
        <f t="shared" si="20"/>
        <v>7.783199999999999</v>
      </c>
      <c r="L354" s="22" t="s">
        <v>333</v>
      </c>
    </row>
    <row r="355" spans="1:12" x14ac:dyDescent="0.3">
      <c r="A355" s="11" t="str">
        <f>Tb_Dados[[#This Row],[CÓD]]&amp;Tb_Dados[[#This Row],[PRODUTO]]&amp;Tb_Dados[[#This Row],[MEDIDA]]</f>
        <v>3470BOX BIPARTIDO MILLENIUM MARROM1580X1980X300</v>
      </c>
      <c r="B355" s="12" t="s">
        <v>13</v>
      </c>
      <c r="C355" s="13">
        <v>3470</v>
      </c>
      <c r="D355" s="14" t="s">
        <v>66</v>
      </c>
      <c r="E355" s="13" t="s">
        <v>56</v>
      </c>
      <c r="F355" s="15">
        <v>346.35501005831071</v>
      </c>
      <c r="G355" s="16">
        <v>86.588752514577678</v>
      </c>
      <c r="H355" s="17">
        <f t="shared" si="21"/>
        <v>1.58</v>
      </c>
      <c r="I355" s="17">
        <f t="shared" si="22"/>
        <v>1.98</v>
      </c>
      <c r="J355" s="18">
        <f t="shared" si="23"/>
        <v>0.3</v>
      </c>
      <c r="K355" s="18">
        <f t="shared" si="20"/>
        <v>9.3852000000000011</v>
      </c>
      <c r="L355" s="22" t="s">
        <v>334</v>
      </c>
    </row>
    <row r="356" spans="1:12" x14ac:dyDescent="0.3">
      <c r="A356" s="11" t="str">
        <f>Tb_Dados[[#This Row],[CÓD]]&amp;Tb_Dados[[#This Row],[PRODUTO]]&amp;Tb_Dados[[#This Row],[MEDIDA]]</f>
        <v>3470BOX BIPARTIDO MILLENIUM MARROM1930X2030X300</v>
      </c>
      <c r="B356" s="12" t="s">
        <v>13</v>
      </c>
      <c r="C356" s="13">
        <v>3470</v>
      </c>
      <c r="D356" s="14" t="s">
        <v>66</v>
      </c>
      <c r="E356" s="13" t="s">
        <v>58</v>
      </c>
      <c r="F356" s="15">
        <v>390.08284596015477</v>
      </c>
      <c r="G356" s="16">
        <v>97.520711490038693</v>
      </c>
      <c r="H356" s="17">
        <f t="shared" si="21"/>
        <v>1.93</v>
      </c>
      <c r="I356" s="17">
        <f t="shared" si="22"/>
        <v>2.0299999999999998</v>
      </c>
      <c r="J356" s="18">
        <f t="shared" si="23"/>
        <v>0.3</v>
      </c>
      <c r="K356" s="18">
        <f t="shared" si="20"/>
        <v>11.753699999999998</v>
      </c>
      <c r="L356" s="22" t="s">
        <v>335</v>
      </c>
    </row>
    <row r="357" spans="1:12" x14ac:dyDescent="0.3">
      <c r="A357" s="11" t="str">
        <f>Tb_Dados[[#This Row],[CÓD]]&amp;Tb_Dados[[#This Row],[PRODUTO]]&amp;Tb_Dados[[#This Row],[MEDIDA]]</f>
        <v>3609MELINDA POCKET880X1880X520</v>
      </c>
      <c r="B357" s="12" t="s">
        <v>13</v>
      </c>
      <c r="C357" s="13">
        <v>3609</v>
      </c>
      <c r="D357" s="31" t="s">
        <v>183</v>
      </c>
      <c r="E357" s="13" t="s">
        <v>336</v>
      </c>
      <c r="F357" s="15">
        <v>328.08218824224167</v>
      </c>
      <c r="G357" s="16">
        <v>164.04109412112084</v>
      </c>
      <c r="H357" s="17">
        <f t="shared" si="21"/>
        <v>0.88</v>
      </c>
      <c r="I357" s="17">
        <f t="shared" si="22"/>
        <v>1.88</v>
      </c>
      <c r="J357" s="18">
        <f t="shared" si="23"/>
        <v>0.52</v>
      </c>
      <c r="K357" s="18">
        <f t="shared" si="20"/>
        <v>8.602879999999999</v>
      </c>
      <c r="L357" s="31" t="s">
        <v>337</v>
      </c>
    </row>
    <row r="358" spans="1:12" x14ac:dyDescent="0.3">
      <c r="A358" s="11" t="str">
        <f>Tb_Dados[[#This Row],[CÓD]]&amp;Tb_Dados[[#This Row],[PRODUTO]]&amp;Tb_Dados[[#This Row],[MEDIDA]]</f>
        <v>3609MELINDA POCKET1380X1880X520</v>
      </c>
      <c r="B358" s="12" t="s">
        <v>13</v>
      </c>
      <c r="C358" s="13">
        <v>3609</v>
      </c>
      <c r="D358" s="31" t="s">
        <v>183</v>
      </c>
      <c r="E358" s="13" t="s">
        <v>338</v>
      </c>
      <c r="F358" s="15">
        <v>440.00634417919412</v>
      </c>
      <c r="G358" s="16">
        <v>220.00317208959706</v>
      </c>
      <c r="H358" s="17">
        <f t="shared" si="21"/>
        <v>1.38</v>
      </c>
      <c r="I358" s="17">
        <f t="shared" si="22"/>
        <v>1.88</v>
      </c>
      <c r="J358" s="18">
        <f t="shared" si="23"/>
        <v>0.52</v>
      </c>
      <c r="K358" s="18">
        <f t="shared" si="20"/>
        <v>13.490879999999999</v>
      </c>
      <c r="L358" s="31" t="s">
        <v>339</v>
      </c>
    </row>
    <row r="359" spans="1:12" x14ac:dyDescent="0.3">
      <c r="A359" s="11" t="str">
        <f>Tb_Dados[[#This Row],[CÓD]]&amp;Tb_Dados[[#This Row],[PRODUTO]]&amp;Tb_Dados[[#This Row],[MEDIDA]]</f>
        <v>11503MELINDA WHITE880X1880X520</v>
      </c>
      <c r="B359" s="12" t="s">
        <v>13</v>
      </c>
      <c r="C359" s="13">
        <v>11503</v>
      </c>
      <c r="D359" s="31" t="s">
        <v>186</v>
      </c>
      <c r="E359" s="13" t="s">
        <v>336</v>
      </c>
      <c r="F359" s="15">
        <v>328.20310342105972</v>
      </c>
      <c r="G359" s="16">
        <v>164.10155171052986</v>
      </c>
      <c r="H359" s="17">
        <f t="shared" si="21"/>
        <v>0.88</v>
      </c>
      <c r="I359" s="17">
        <f t="shared" si="22"/>
        <v>1.88</v>
      </c>
      <c r="J359" s="18">
        <f t="shared" si="23"/>
        <v>0.52</v>
      </c>
      <c r="K359" s="18">
        <f t="shared" si="20"/>
        <v>8.602879999999999</v>
      </c>
      <c r="L359" s="31" t="s">
        <v>337</v>
      </c>
    </row>
    <row r="360" spans="1:12" x14ac:dyDescent="0.3">
      <c r="A360" s="11" t="str">
        <f>Tb_Dados[[#This Row],[CÓD]]&amp;Tb_Dados[[#This Row],[PRODUTO]]&amp;Tb_Dados[[#This Row],[MEDIDA]]</f>
        <v>11503MELINDA WHITE1380X1880X520</v>
      </c>
      <c r="B360" s="12" t="s">
        <v>13</v>
      </c>
      <c r="C360" s="13">
        <v>11503</v>
      </c>
      <c r="D360" s="31" t="s">
        <v>186</v>
      </c>
      <c r="E360" s="13" t="s">
        <v>338</v>
      </c>
      <c r="F360" s="15">
        <v>436.82323276847842</v>
      </c>
      <c r="G360" s="16">
        <v>218.41161638423921</v>
      </c>
      <c r="H360" s="17">
        <f t="shared" si="21"/>
        <v>1.38</v>
      </c>
      <c r="I360" s="17">
        <f t="shared" si="22"/>
        <v>1.88</v>
      </c>
      <c r="J360" s="18">
        <f t="shared" si="23"/>
        <v>0.52</v>
      </c>
      <c r="K360" s="18">
        <f t="shared" si="20"/>
        <v>13.490879999999999</v>
      </c>
      <c r="L360" s="31" t="s">
        <v>339</v>
      </c>
    </row>
    <row r="361" spans="1:12" x14ac:dyDescent="0.3">
      <c r="A361" s="11" t="str">
        <f>Tb_Dados[[#This Row],[CÓD]]&amp;Tb_Dados[[#This Row],[PRODUTO]]&amp;Tb_Dados[[#This Row],[MEDIDA]]</f>
        <v>13556UNIBOX D28 PREMIUM EURO880X1880X500</v>
      </c>
      <c r="B361" s="12" t="s">
        <v>13</v>
      </c>
      <c r="C361" s="13">
        <v>13556</v>
      </c>
      <c r="D361" s="31" t="s">
        <v>202</v>
      </c>
      <c r="E361" s="13" t="s">
        <v>340</v>
      </c>
      <c r="F361" s="15">
        <v>288.36784077832391</v>
      </c>
      <c r="G361" s="16">
        <v>144.18392038916195</v>
      </c>
      <c r="H361" s="17">
        <f t="shared" si="21"/>
        <v>0.88</v>
      </c>
      <c r="I361" s="17">
        <f t="shared" si="22"/>
        <v>1.88</v>
      </c>
      <c r="J361" s="18">
        <f t="shared" si="23"/>
        <v>0.5</v>
      </c>
      <c r="K361" s="18">
        <f t="shared" si="20"/>
        <v>8.2719999999999985</v>
      </c>
      <c r="L361" s="31" t="s">
        <v>341</v>
      </c>
    </row>
    <row r="362" spans="1:12" x14ac:dyDescent="0.3">
      <c r="A362" s="11" t="str">
        <f>Tb_Dados[[#This Row],[CÓD]]&amp;Tb_Dados[[#This Row],[PRODUTO]]&amp;Tb_Dados[[#This Row],[MEDIDA]]</f>
        <v>13556UNIBOX D28 PREMIUM EURO1380X1880X500</v>
      </c>
      <c r="B362" s="12" t="s">
        <v>13</v>
      </c>
      <c r="C362" s="13">
        <v>13556</v>
      </c>
      <c r="D362" s="31" t="s">
        <v>202</v>
      </c>
      <c r="E362" s="13" t="s">
        <v>342</v>
      </c>
      <c r="F362" s="15">
        <v>378.30983538334948</v>
      </c>
      <c r="G362" s="16">
        <v>189.15491769167474</v>
      </c>
      <c r="H362" s="17">
        <f t="shared" si="21"/>
        <v>1.38</v>
      </c>
      <c r="I362" s="17">
        <f t="shared" si="22"/>
        <v>1.88</v>
      </c>
      <c r="J362" s="18">
        <f t="shared" si="23"/>
        <v>0.5</v>
      </c>
      <c r="K362" s="18">
        <f t="shared" si="20"/>
        <v>12.972</v>
      </c>
      <c r="L362" s="31" t="s">
        <v>343</v>
      </c>
    </row>
    <row r="363" spans="1:12" x14ac:dyDescent="0.3">
      <c r="A363" s="11" t="str">
        <f>Tb_Dados[[#This Row],[CÓD]]&amp;Tb_Dados[[#This Row],[PRODUTO]]&amp;Tb_Dados[[#This Row],[MEDIDA]]</f>
        <v>2923UNIBOX D28 PREMIUM [CINZA/PLW]880X1880X520</v>
      </c>
      <c r="B363" s="12" t="s">
        <v>13</v>
      </c>
      <c r="C363" s="13">
        <v>2923</v>
      </c>
      <c r="D363" s="31" t="s">
        <v>196</v>
      </c>
      <c r="E363" s="13" t="s">
        <v>336</v>
      </c>
      <c r="F363" s="15">
        <v>307.55867408866976</v>
      </c>
      <c r="G363" s="16">
        <v>153.77933704433488</v>
      </c>
      <c r="H363" s="17">
        <f t="shared" si="21"/>
        <v>0.88</v>
      </c>
      <c r="I363" s="17">
        <f t="shared" si="22"/>
        <v>1.88</v>
      </c>
      <c r="J363" s="18">
        <f t="shared" si="23"/>
        <v>0.52</v>
      </c>
      <c r="K363" s="18">
        <f t="shared" si="20"/>
        <v>8.602879999999999</v>
      </c>
      <c r="L363" s="31" t="s">
        <v>337</v>
      </c>
    </row>
    <row r="364" spans="1:12" x14ac:dyDescent="0.3">
      <c r="A364" s="11" t="str">
        <f>Tb_Dados[[#This Row],[CÓD]]&amp;Tb_Dados[[#This Row],[PRODUTO]]&amp;Tb_Dados[[#This Row],[MEDIDA]]</f>
        <v>2923UNIBOX D28 PREMIUM [CINZA/PLW]1380X1880X520</v>
      </c>
      <c r="B364" s="12" t="s">
        <v>13</v>
      </c>
      <c r="C364" s="13">
        <v>2923</v>
      </c>
      <c r="D364" s="31" t="s">
        <v>196</v>
      </c>
      <c r="E364" s="13" t="s">
        <v>338</v>
      </c>
      <c r="F364" s="15">
        <v>421.73832842469523</v>
      </c>
      <c r="G364" s="16">
        <v>210.86916421234761</v>
      </c>
      <c r="H364" s="17">
        <f t="shared" si="21"/>
        <v>1.38</v>
      </c>
      <c r="I364" s="17">
        <f t="shared" si="22"/>
        <v>1.88</v>
      </c>
      <c r="J364" s="18">
        <f t="shared" si="23"/>
        <v>0.52</v>
      </c>
      <c r="K364" s="18">
        <f t="shared" si="20"/>
        <v>13.490879999999999</v>
      </c>
      <c r="L364" s="31" t="s">
        <v>339</v>
      </c>
    </row>
    <row r="365" spans="1:12" x14ac:dyDescent="0.3">
      <c r="A365" s="11" t="str">
        <f>Tb_Dados[[#This Row],[CÓD]]&amp;Tb_Dados[[#This Row],[PRODUTO]]&amp;Tb_Dados[[#This Row],[MEDIDA]]</f>
        <v>2907UNIBOX D28 MAIS ESPUMA [BEGE/MARROM]880X1880X450</v>
      </c>
      <c r="B365" s="12" t="s">
        <v>13</v>
      </c>
      <c r="C365" s="13">
        <v>2907</v>
      </c>
      <c r="D365" s="31" t="s">
        <v>193</v>
      </c>
      <c r="E365" s="13" t="s">
        <v>344</v>
      </c>
      <c r="F365" s="15">
        <v>301.96336946284708</v>
      </c>
      <c r="G365" s="16">
        <v>150.98168473142354</v>
      </c>
      <c r="H365" s="17">
        <f t="shared" si="21"/>
        <v>0.88</v>
      </c>
      <c r="I365" s="17">
        <f t="shared" si="22"/>
        <v>1.88</v>
      </c>
      <c r="J365" s="18">
        <f t="shared" si="23"/>
        <v>0.45</v>
      </c>
      <c r="K365" s="18">
        <f t="shared" si="20"/>
        <v>7.444799999999999</v>
      </c>
      <c r="L365" s="31" t="s">
        <v>345</v>
      </c>
    </row>
    <row r="366" spans="1:12" x14ac:dyDescent="0.3">
      <c r="A366" s="11" t="str">
        <f>Tb_Dados[[#This Row],[CÓD]]&amp;Tb_Dados[[#This Row],[PRODUTO]]&amp;Tb_Dados[[#This Row],[MEDIDA]]</f>
        <v>2907UNIBOX D28 MAIS ESPUMA [BEGE/MARROM]1380X1880X450</v>
      </c>
      <c r="B366" s="12" t="s">
        <v>13</v>
      </c>
      <c r="C366" s="13">
        <v>2907</v>
      </c>
      <c r="D366" s="31" t="s">
        <v>193</v>
      </c>
      <c r="E366" s="13" t="s">
        <v>346</v>
      </c>
      <c r="F366" s="15">
        <v>417.17321293217361</v>
      </c>
      <c r="G366" s="16">
        <v>208.58660646608681</v>
      </c>
      <c r="H366" s="17">
        <f t="shared" si="21"/>
        <v>1.38</v>
      </c>
      <c r="I366" s="17">
        <f t="shared" si="22"/>
        <v>1.88</v>
      </c>
      <c r="J366" s="18">
        <f t="shared" si="23"/>
        <v>0.45</v>
      </c>
      <c r="K366" s="18">
        <f t="shared" si="20"/>
        <v>11.674799999999998</v>
      </c>
      <c r="L366" s="31" t="s">
        <v>347</v>
      </c>
    </row>
    <row r="367" spans="1:12" x14ac:dyDescent="0.3">
      <c r="A367" s="11" t="str">
        <f>Tb_Dados[[#This Row],[CÓD]]&amp;Tb_Dados[[#This Row],[PRODUTO]]&amp;Tb_Dados[[#This Row],[MEDIDA]]</f>
        <v>2911UNIBOX D28 STAND880X1880X450</v>
      </c>
      <c r="B367" s="12" t="s">
        <v>13</v>
      </c>
      <c r="C367" s="13">
        <v>2911</v>
      </c>
      <c r="D367" s="31" t="s">
        <v>205</v>
      </c>
      <c r="E367" s="13" t="s">
        <v>344</v>
      </c>
      <c r="F367" s="15">
        <v>231.41997414273644</v>
      </c>
      <c r="G367" s="16">
        <v>115.70998707136822</v>
      </c>
      <c r="H367" s="17">
        <f t="shared" si="21"/>
        <v>0.88</v>
      </c>
      <c r="I367" s="17">
        <f t="shared" si="22"/>
        <v>1.88</v>
      </c>
      <c r="J367" s="18">
        <f t="shared" si="23"/>
        <v>0.45</v>
      </c>
      <c r="K367" s="18">
        <f t="shared" si="20"/>
        <v>7.444799999999999</v>
      </c>
      <c r="L367" s="31" t="s">
        <v>345</v>
      </c>
    </row>
    <row r="368" spans="1:12" x14ac:dyDescent="0.3">
      <c r="A368" s="11" t="str">
        <f>Tb_Dados[[#This Row],[CÓD]]&amp;Tb_Dados[[#This Row],[PRODUTO]]&amp;Tb_Dados[[#This Row],[MEDIDA]]</f>
        <v>2911UNIBOX D28 STAND1380X1880X450</v>
      </c>
      <c r="B368" s="12" t="s">
        <v>13</v>
      </c>
      <c r="C368" s="13">
        <v>2911</v>
      </c>
      <c r="D368" s="31" t="s">
        <v>205</v>
      </c>
      <c r="E368" s="13" t="s">
        <v>346</v>
      </c>
      <c r="F368" s="15">
        <v>305.47569281568155</v>
      </c>
      <c r="G368" s="16">
        <v>152.73784640784078</v>
      </c>
      <c r="H368" s="17">
        <f t="shared" si="21"/>
        <v>1.38</v>
      </c>
      <c r="I368" s="17">
        <f t="shared" si="22"/>
        <v>1.88</v>
      </c>
      <c r="J368" s="18">
        <f t="shared" si="23"/>
        <v>0.45</v>
      </c>
      <c r="K368" s="18">
        <f t="shared" si="20"/>
        <v>11.674799999999998</v>
      </c>
      <c r="L368" s="31" t="s">
        <v>347</v>
      </c>
    </row>
    <row r="369" spans="1:12" x14ac:dyDescent="0.3">
      <c r="A369" s="11" t="str">
        <f>Tb_Dados[[#This Row],[CÓD]]&amp;Tb_Dados[[#This Row],[PRODUTO]]&amp;Tb_Dados[[#This Row],[MEDIDA]]</f>
        <v>2915BIBOX 880X1880X420</v>
      </c>
      <c r="B369" s="12" t="s">
        <v>13</v>
      </c>
      <c r="C369" s="13">
        <v>2915</v>
      </c>
      <c r="D369" s="14" t="s">
        <v>17</v>
      </c>
      <c r="E369" s="13" t="s">
        <v>348</v>
      </c>
      <c r="F369" s="15">
        <v>426.07840326131299</v>
      </c>
      <c r="G369" s="16">
        <v>213.03920163065649</v>
      </c>
      <c r="H369" s="17">
        <f t="shared" si="21"/>
        <v>0.88</v>
      </c>
      <c r="I369" s="17">
        <f t="shared" si="22"/>
        <v>1.88</v>
      </c>
      <c r="J369" s="18">
        <f t="shared" si="23"/>
        <v>0.42</v>
      </c>
      <c r="K369" s="18">
        <f t="shared" si="20"/>
        <v>6.9484799999999991</v>
      </c>
      <c r="L369" s="14" t="s">
        <v>349</v>
      </c>
    </row>
    <row r="370" spans="1:12" x14ac:dyDescent="0.3">
      <c r="A370" s="11" t="str">
        <f>Tb_Dados[[#This Row],[CÓD]]&amp;Tb_Dados[[#This Row],[PRODUTO]]&amp;Tb_Dados[[#This Row],[MEDIDA]]</f>
        <v>3184BIBOX PREMIUM [CINZA/PLW]880X1880X520</v>
      </c>
      <c r="B370" s="12" t="s">
        <v>13</v>
      </c>
      <c r="C370" s="13">
        <v>3184</v>
      </c>
      <c r="D370" s="14" t="s">
        <v>20</v>
      </c>
      <c r="E370" s="13" t="s">
        <v>336</v>
      </c>
      <c r="F370" s="15">
        <v>520.38595943438031</v>
      </c>
      <c r="G370" s="16">
        <v>260.19297971719016</v>
      </c>
      <c r="H370" s="17">
        <f t="shared" si="21"/>
        <v>0.88</v>
      </c>
      <c r="I370" s="17">
        <f t="shared" si="22"/>
        <v>1.88</v>
      </c>
      <c r="J370" s="18">
        <f t="shared" si="23"/>
        <v>0.52</v>
      </c>
      <c r="K370" s="18">
        <f t="shared" si="20"/>
        <v>8.602879999999999</v>
      </c>
      <c r="L370" s="14" t="s">
        <v>337</v>
      </c>
    </row>
    <row r="371" spans="1:12" x14ac:dyDescent="0.3">
      <c r="A371" s="11" t="str">
        <f>Tb_Dados[[#This Row],[CÓD]]&amp;Tb_Dados[[#This Row],[PRODUTO]]&amp;Tb_Dados[[#This Row],[MEDIDA]]</f>
        <v>6477MELINDA COM AUXÍLIO880X1880X520</v>
      </c>
      <c r="B371" s="12" t="s">
        <v>13</v>
      </c>
      <c r="C371" s="13">
        <v>6477</v>
      </c>
      <c r="D371" s="14" t="s">
        <v>180</v>
      </c>
      <c r="E371" s="13" t="s">
        <v>336</v>
      </c>
      <c r="F371" s="15">
        <v>538.46029020740696</v>
      </c>
      <c r="G371" s="16">
        <v>269.23014510370348</v>
      </c>
      <c r="H371" s="17">
        <f t="shared" si="21"/>
        <v>0.88</v>
      </c>
      <c r="I371" s="17">
        <f t="shared" si="22"/>
        <v>1.88</v>
      </c>
      <c r="J371" s="18">
        <f t="shared" si="23"/>
        <v>0.52</v>
      </c>
      <c r="K371" s="18">
        <f t="shared" si="20"/>
        <v>8.602879999999999</v>
      </c>
      <c r="L371" s="14" t="s">
        <v>337</v>
      </c>
    </row>
    <row r="372" spans="1:12" x14ac:dyDescent="0.3">
      <c r="A372" s="11" t="str">
        <f>Tb_Dados[[#This Row],[CÓD]]&amp;Tb_Dados[[#This Row],[PRODUTO]]&amp;Tb_Dados[[#This Row],[MEDIDA]]</f>
        <v>2899BOX COM AUXÍLIO MILLENIUM880X1880X300</v>
      </c>
      <c r="B372" s="12" t="s">
        <v>13</v>
      </c>
      <c r="C372" s="13">
        <v>2899</v>
      </c>
      <c r="D372" s="14" t="s">
        <v>90</v>
      </c>
      <c r="E372" s="13" t="s">
        <v>47</v>
      </c>
      <c r="F372" s="15">
        <v>367.57353608208416</v>
      </c>
      <c r="G372" s="16">
        <v>183.78676804104208</v>
      </c>
      <c r="H372" s="17">
        <f t="shared" si="21"/>
        <v>0.88</v>
      </c>
      <c r="I372" s="17">
        <f t="shared" si="22"/>
        <v>1.88</v>
      </c>
      <c r="J372" s="18">
        <f t="shared" si="23"/>
        <v>0.3</v>
      </c>
      <c r="K372" s="18">
        <f t="shared" si="20"/>
        <v>4.9631999999999996</v>
      </c>
      <c r="L372" s="22" t="s">
        <v>350</v>
      </c>
    </row>
    <row r="373" spans="1:12" x14ac:dyDescent="0.3">
      <c r="A373" s="11" t="str">
        <f>Tb_Dados[[#This Row],[CÓD]]&amp;Tb_Dados[[#This Row],[PRODUTO]]&amp;Tb_Dados[[#This Row],[MEDIDA]]</f>
        <v>3431BOX BAÚ880X1880X360</v>
      </c>
      <c r="B373" s="12" t="s">
        <v>13</v>
      </c>
      <c r="C373" s="13">
        <v>3431</v>
      </c>
      <c r="D373" s="20" t="s">
        <v>23</v>
      </c>
      <c r="E373" s="13" t="s">
        <v>351</v>
      </c>
      <c r="F373" s="15">
        <v>522.6774230286951</v>
      </c>
      <c r="G373" s="16">
        <v>261.33871151434755</v>
      </c>
      <c r="H373" s="17">
        <f t="shared" si="21"/>
        <v>0.88</v>
      </c>
      <c r="I373" s="17">
        <f t="shared" si="22"/>
        <v>1.88</v>
      </c>
      <c r="J373" s="18">
        <f t="shared" si="23"/>
        <v>0.36</v>
      </c>
      <c r="K373" s="18">
        <f t="shared" si="20"/>
        <v>5.9558399999999985</v>
      </c>
      <c r="L373" s="20" t="s">
        <v>352</v>
      </c>
    </row>
    <row r="374" spans="1:12" x14ac:dyDescent="0.3">
      <c r="A374" s="11" t="str">
        <f>Tb_Dados[[#This Row],[CÓD]]&amp;Tb_Dados[[#This Row],[PRODUTO]]&amp;Tb_Dados[[#This Row],[MEDIDA]]</f>
        <v>3431BOX BAÚ1380X1880X360</v>
      </c>
      <c r="B374" s="12" t="s">
        <v>13</v>
      </c>
      <c r="C374" s="13">
        <v>3431</v>
      </c>
      <c r="D374" s="20" t="s">
        <v>23</v>
      </c>
      <c r="E374" s="13" t="s">
        <v>353</v>
      </c>
      <c r="F374" s="15">
        <v>677.0004151964032</v>
      </c>
      <c r="G374" s="16">
        <v>338.5002075982016</v>
      </c>
      <c r="H374" s="17">
        <f t="shared" si="21"/>
        <v>1.38</v>
      </c>
      <c r="I374" s="17">
        <f t="shared" si="22"/>
        <v>1.88</v>
      </c>
      <c r="J374" s="18">
        <f t="shared" si="23"/>
        <v>0.36</v>
      </c>
      <c r="K374" s="18">
        <f t="shared" si="20"/>
        <v>9.3398399999999988</v>
      </c>
      <c r="L374" s="20" t="s">
        <v>354</v>
      </c>
    </row>
    <row r="375" spans="1:12" x14ac:dyDescent="0.3">
      <c r="A375" s="11" t="str">
        <f>Tb_Dados[[#This Row],[CÓD]]&amp;Tb_Dados[[#This Row],[PRODUTO]]&amp;Tb_Dados[[#This Row],[MEDIDA]]</f>
        <v>3567BOX BIPARTIDO BAÚ1580X1980X360</v>
      </c>
      <c r="B375" s="12" t="s">
        <v>13</v>
      </c>
      <c r="C375" s="13">
        <v>3567</v>
      </c>
      <c r="D375" s="20" t="s">
        <v>33</v>
      </c>
      <c r="E375" s="13" t="s">
        <v>355</v>
      </c>
      <c r="F375" s="15">
        <v>1108.6554824497005</v>
      </c>
      <c r="G375" s="16">
        <v>277.16387061242511</v>
      </c>
      <c r="H375" s="17">
        <f t="shared" si="21"/>
        <v>1.58</v>
      </c>
      <c r="I375" s="17">
        <f t="shared" si="22"/>
        <v>1.98</v>
      </c>
      <c r="J375" s="18">
        <f t="shared" si="23"/>
        <v>0.36</v>
      </c>
      <c r="K375" s="18">
        <f t="shared" si="20"/>
        <v>11.262239999999998</v>
      </c>
      <c r="L375" s="20" t="s">
        <v>356</v>
      </c>
    </row>
    <row r="376" spans="1:12" x14ac:dyDescent="0.3">
      <c r="A376" s="11" t="str">
        <f>Tb_Dados[[#This Row],[CÓD]]&amp;Tb_Dados[[#This Row],[PRODUTO]]&amp;Tb_Dados[[#This Row],[MEDIDA]]</f>
        <v>3567BOX BIPARTIDO BAÚ1930X2030X360</v>
      </c>
      <c r="B376" s="12" t="s">
        <v>13</v>
      </c>
      <c r="C376" s="13">
        <v>3567</v>
      </c>
      <c r="D376" s="20" t="s">
        <v>33</v>
      </c>
      <c r="E376" s="13" t="s">
        <v>357</v>
      </c>
      <c r="F376" s="15">
        <v>1289.6110584349428</v>
      </c>
      <c r="G376" s="32">
        <v>322.40276460873571</v>
      </c>
      <c r="H376" s="17">
        <f t="shared" si="21"/>
        <v>1.93</v>
      </c>
      <c r="I376" s="17">
        <f t="shared" si="22"/>
        <v>2.0299999999999998</v>
      </c>
      <c r="J376" s="18">
        <f t="shared" si="23"/>
        <v>0.36</v>
      </c>
      <c r="K376" s="18">
        <f t="shared" si="20"/>
        <v>14.104439999999999</v>
      </c>
      <c r="L376" s="20" t="s">
        <v>358</v>
      </c>
    </row>
    <row r="377" spans="1:12" x14ac:dyDescent="0.3">
      <c r="A377" s="11" t="str">
        <f>Tb_Dados[[#This Row],[CÓD]]&amp;Tb_Dados[[#This Row],[PRODUTO]]&amp;Tb_Dados[[#This Row],[MEDIDA]]</f>
        <v>7060BOX BAÚ AUTOMÁTICO880X1880X360</v>
      </c>
      <c r="B377" s="12" t="s">
        <v>13</v>
      </c>
      <c r="C377" s="25">
        <v>7060</v>
      </c>
      <c r="D377" s="20" t="s">
        <v>26</v>
      </c>
      <c r="E377" s="25" t="s">
        <v>351</v>
      </c>
      <c r="F377" s="26">
        <v>1992.6225350284637</v>
      </c>
      <c r="G377" s="27">
        <v>996.31126751423187</v>
      </c>
      <c r="H377" s="28">
        <f t="shared" si="21"/>
        <v>0.88</v>
      </c>
      <c r="I377" s="28">
        <f t="shared" si="22"/>
        <v>1.88</v>
      </c>
      <c r="J377" s="29">
        <f t="shared" si="23"/>
        <v>0.36</v>
      </c>
      <c r="K377" s="29">
        <f t="shared" si="20"/>
        <v>5.9558399999999985</v>
      </c>
      <c r="L377" s="20" t="s">
        <v>352</v>
      </c>
    </row>
    <row r="378" spans="1:12" x14ac:dyDescent="0.3">
      <c r="A378" s="11" t="str">
        <f>Tb_Dados[[#This Row],[CÓD]]&amp;Tb_Dados[[#This Row],[PRODUTO]]&amp;Tb_Dados[[#This Row],[MEDIDA]]</f>
        <v>7060BOX BAÚ AUTOMÁTICO1380X1880X360</v>
      </c>
      <c r="B378" s="12" t="s">
        <v>13</v>
      </c>
      <c r="C378" s="25">
        <v>7060</v>
      </c>
      <c r="D378" s="20" t="s">
        <v>26</v>
      </c>
      <c r="E378" s="25" t="s">
        <v>353</v>
      </c>
      <c r="F378" s="26">
        <v>2149.1754621826803</v>
      </c>
      <c r="G378" s="27">
        <v>1074.5877310913402</v>
      </c>
      <c r="H378" s="28">
        <f t="shared" si="21"/>
        <v>1.38</v>
      </c>
      <c r="I378" s="28">
        <f t="shared" si="22"/>
        <v>1.88</v>
      </c>
      <c r="J378" s="29">
        <f t="shared" si="23"/>
        <v>0.36</v>
      </c>
      <c r="K378" s="29">
        <f t="shared" si="20"/>
        <v>9.3398399999999988</v>
      </c>
      <c r="L378" s="20" t="s">
        <v>354</v>
      </c>
    </row>
    <row r="379" spans="1:12" x14ac:dyDescent="0.3">
      <c r="A379" s="11" t="str">
        <f>Tb_Dados[[#This Row],[CÓD]]&amp;Tb_Dados[[#This Row],[PRODUTO]]&amp;Tb_Dados[[#This Row],[MEDIDA]]</f>
        <v>7061BOX BAÚ AUTOMÁTICO1580X1980X360</v>
      </c>
      <c r="B379" s="12" t="s">
        <v>13</v>
      </c>
      <c r="C379" s="25">
        <v>7061</v>
      </c>
      <c r="D379" s="20" t="s">
        <v>26</v>
      </c>
      <c r="E379" s="25" t="s">
        <v>355</v>
      </c>
      <c r="F379" s="26">
        <v>2439.564440112928</v>
      </c>
      <c r="G379" s="27">
        <v>609.89111002823199</v>
      </c>
      <c r="H379" s="28">
        <f t="shared" si="21"/>
        <v>1.58</v>
      </c>
      <c r="I379" s="28">
        <f t="shared" si="22"/>
        <v>1.98</v>
      </c>
      <c r="J379" s="29">
        <f t="shared" si="23"/>
        <v>0.36</v>
      </c>
      <c r="K379" s="29">
        <f t="shared" si="20"/>
        <v>11.262239999999998</v>
      </c>
      <c r="L379" s="20" t="s">
        <v>356</v>
      </c>
    </row>
    <row r="380" spans="1:12" x14ac:dyDescent="0.3">
      <c r="A380" s="11" t="str">
        <f>Tb_Dados[[#This Row],[CÓD]]&amp;Tb_Dados[[#This Row],[PRODUTO]]&amp;Tb_Dados[[#This Row],[MEDIDA]]</f>
        <v>7061BOX BAÚ AUTOMÁTICO1930X2030X360</v>
      </c>
      <c r="B380" s="12" t="s">
        <v>13</v>
      </c>
      <c r="C380" s="33">
        <v>7061</v>
      </c>
      <c r="D380" s="34" t="s">
        <v>26</v>
      </c>
      <c r="E380" s="33" t="s">
        <v>357</v>
      </c>
      <c r="F380" s="35">
        <v>2639.6279528838513</v>
      </c>
      <c r="G380" s="36">
        <v>659.90698822096283</v>
      </c>
      <c r="H380" s="37">
        <f t="shared" si="21"/>
        <v>1.93</v>
      </c>
      <c r="I380" s="37">
        <f t="shared" si="22"/>
        <v>2.0299999999999998</v>
      </c>
      <c r="J380" s="38">
        <f t="shared" si="23"/>
        <v>0.36</v>
      </c>
      <c r="K380" s="29">
        <f t="shared" si="20"/>
        <v>14.104439999999999</v>
      </c>
      <c r="L380" s="34" t="s">
        <v>358</v>
      </c>
    </row>
    <row r="381" spans="1:12" x14ac:dyDescent="0.3">
      <c r="A381" s="11" t="str">
        <f>Tb_Dados[[#This Row],[CÓD]]&amp;Tb_Dados[[#This Row],[PRODUTO]]&amp;Tb_Dados[[#This Row],[MEDIDA]]</f>
        <v>3293UNIBOX D28 STAND BONJI880X1880X450</v>
      </c>
      <c r="B381" s="12" t="s">
        <v>13</v>
      </c>
      <c r="C381" s="39">
        <v>3293</v>
      </c>
      <c r="D381" s="23" t="s">
        <v>206</v>
      </c>
      <c r="E381" s="40" t="s">
        <v>344</v>
      </c>
      <c r="F381" s="26"/>
      <c r="G381" s="41"/>
      <c r="H381" s="28">
        <f t="shared" si="21"/>
        <v>0.88</v>
      </c>
      <c r="I381" s="28">
        <f t="shared" si="22"/>
        <v>1.88</v>
      </c>
      <c r="J381" s="29">
        <f t="shared" si="23"/>
        <v>0.45</v>
      </c>
      <c r="K381" s="29">
        <f t="shared" si="20"/>
        <v>7.444799999999999</v>
      </c>
      <c r="L381" s="31" t="s">
        <v>345</v>
      </c>
    </row>
    <row r="382" spans="1:12" x14ac:dyDescent="0.3">
      <c r="A382" s="11" t="str">
        <f>Tb_Dados[[#This Row],[CÓD]]&amp;Tb_Dados[[#This Row],[PRODUTO]]&amp;Tb_Dados[[#This Row],[MEDIDA]]</f>
        <v>3293UNIBOX D28 STAND BONJI1380X1880X450</v>
      </c>
      <c r="B382" s="12" t="s">
        <v>13</v>
      </c>
      <c r="C382" s="39">
        <v>3293</v>
      </c>
      <c r="D382" s="23" t="s">
        <v>206</v>
      </c>
      <c r="E382" s="40" t="s">
        <v>346</v>
      </c>
      <c r="F382" s="26"/>
      <c r="G382" s="41"/>
      <c r="H382" s="28">
        <f t="shared" si="21"/>
        <v>1.38</v>
      </c>
      <c r="I382" s="28">
        <f t="shared" si="22"/>
        <v>1.88</v>
      </c>
      <c r="J382" s="29">
        <f t="shared" si="23"/>
        <v>0.45</v>
      </c>
      <c r="K382" s="29">
        <f t="shared" si="20"/>
        <v>11.674799999999998</v>
      </c>
      <c r="L382" s="31" t="s">
        <v>347</v>
      </c>
    </row>
    <row r="383" spans="1:12" x14ac:dyDescent="0.3">
      <c r="A383" s="11" t="str">
        <f>Tb_Dados[[#This Row],[CÓD]]&amp;Tb_Dados[[#This Row],[PRODUTO]]&amp;Tb_Dados[[#This Row],[MEDIDA]]</f>
        <v>3612MELINDA BLUE880X1880X520</v>
      </c>
      <c r="B383" s="12" t="s">
        <v>13</v>
      </c>
      <c r="C383" s="39">
        <v>3612</v>
      </c>
      <c r="D383" s="23" t="s">
        <v>177</v>
      </c>
      <c r="E383" s="40" t="s">
        <v>336</v>
      </c>
      <c r="F383" s="26"/>
      <c r="G383" s="41"/>
      <c r="H383" s="28">
        <f t="shared" si="21"/>
        <v>0.88</v>
      </c>
      <c r="I383" s="28">
        <f t="shared" si="22"/>
        <v>1.88</v>
      </c>
      <c r="J383" s="29">
        <f t="shared" si="23"/>
        <v>0.52</v>
      </c>
      <c r="K383" s="29">
        <f t="shared" si="20"/>
        <v>8.602879999999999</v>
      </c>
      <c r="L383" s="14" t="s">
        <v>337</v>
      </c>
    </row>
    <row r="384" spans="1:12" x14ac:dyDescent="0.3">
      <c r="A384" s="11" t="str">
        <f>Tb_Dados[[#This Row],[CÓD]]&amp;Tb_Dados[[#This Row],[PRODUTO]]&amp;Tb_Dados[[#This Row],[MEDIDA]]</f>
        <v>3612MELINDA BLUE1380X1880X520</v>
      </c>
      <c r="B384" s="12" t="s">
        <v>13</v>
      </c>
      <c r="C384" s="39">
        <v>3612</v>
      </c>
      <c r="D384" s="23" t="s">
        <v>177</v>
      </c>
      <c r="E384" s="40" t="s">
        <v>338</v>
      </c>
      <c r="F384" s="26"/>
      <c r="G384" s="41"/>
      <c r="H384" s="28">
        <f t="shared" si="21"/>
        <v>1.38</v>
      </c>
      <c r="I384" s="28">
        <f t="shared" si="22"/>
        <v>1.88</v>
      </c>
      <c r="J384" s="29">
        <f t="shared" si="23"/>
        <v>0.52</v>
      </c>
      <c r="K384" s="29">
        <f t="shared" si="20"/>
        <v>13.490879999999999</v>
      </c>
      <c r="L384" s="31" t="s">
        <v>339</v>
      </c>
    </row>
    <row r="385" spans="1:12" x14ac:dyDescent="0.3">
      <c r="A385" s="11" t="str">
        <f>Tb_Dados[[#This Row],[CÓD]]&amp;Tb_Dados[[#This Row],[PRODUTO]]&amp;Tb_Dados[[#This Row],[MEDIDA]]</f>
        <v>6440UNIBOX D28 PREMIUM BLACK880X1880X520</v>
      </c>
      <c r="B385" s="12" t="s">
        <v>13</v>
      </c>
      <c r="C385" s="39">
        <v>6440</v>
      </c>
      <c r="D385" s="23" t="s">
        <v>199</v>
      </c>
      <c r="E385" s="40" t="s">
        <v>336</v>
      </c>
      <c r="F385" s="26"/>
      <c r="G385" s="41"/>
      <c r="H385" s="28">
        <f t="shared" si="21"/>
        <v>0.88</v>
      </c>
      <c r="I385" s="28">
        <f t="shared" si="22"/>
        <v>1.88</v>
      </c>
      <c r="J385" s="29">
        <f t="shared" si="23"/>
        <v>0.52</v>
      </c>
      <c r="K385" s="29">
        <f t="shared" si="20"/>
        <v>8.602879999999999</v>
      </c>
      <c r="L385" s="14" t="s">
        <v>337</v>
      </c>
    </row>
    <row r="386" spans="1:12" x14ac:dyDescent="0.3">
      <c r="A386" s="11" t="str">
        <f>Tb_Dados[[#This Row],[CÓD]]&amp;Tb_Dados[[#This Row],[PRODUTO]]&amp;Tb_Dados[[#This Row],[MEDIDA]]</f>
        <v>6440UNIBOX D28 PREMIUM BLACK1380X1880X520</v>
      </c>
      <c r="B386" s="12" t="s">
        <v>13</v>
      </c>
      <c r="C386" s="42">
        <v>6440</v>
      </c>
      <c r="D386" s="43" t="s">
        <v>199</v>
      </c>
      <c r="E386" s="44" t="s">
        <v>338</v>
      </c>
      <c r="F386" s="35"/>
      <c r="G386" s="45"/>
      <c r="H386" s="37">
        <f t="shared" si="21"/>
        <v>1.38</v>
      </c>
      <c r="I386" s="37">
        <f t="shared" si="22"/>
        <v>1.88</v>
      </c>
      <c r="J386" s="38">
        <f t="shared" si="23"/>
        <v>0.52</v>
      </c>
      <c r="K386" s="38">
        <f t="shared" si="20"/>
        <v>13.490879999999999</v>
      </c>
      <c r="L386" s="31" t="s">
        <v>339</v>
      </c>
    </row>
    <row r="387" spans="1:12" x14ac:dyDescent="0.3">
      <c r="A387" s="11" t="str">
        <f>Tb_Dados[[#This Row],[CÓD]]&amp;Tb_Dados[[#This Row],[PRODUTO]]&amp;Tb_Dados[[#This Row],[MEDIDA]]</f>
        <v>2780COLC ORIGINALE880X1880X260</v>
      </c>
      <c r="B387" s="13" t="s">
        <v>359</v>
      </c>
      <c r="C387" s="13">
        <v>2780</v>
      </c>
      <c r="D387" s="20" t="s">
        <v>164</v>
      </c>
      <c r="E387" s="46" t="s">
        <v>360</v>
      </c>
      <c r="F387" s="15">
        <v>365.54049711237303</v>
      </c>
      <c r="G387" s="47">
        <v>182.77024855618652</v>
      </c>
      <c r="H387" s="17">
        <f t="shared" si="21"/>
        <v>0.88</v>
      </c>
      <c r="I387" s="17">
        <f t="shared" si="22"/>
        <v>1.88</v>
      </c>
      <c r="J387" s="18">
        <f t="shared" si="23"/>
        <v>0.26</v>
      </c>
      <c r="K387" s="18">
        <f t="shared" si="20"/>
        <v>4.3014399999999995</v>
      </c>
      <c r="L387" s="20" t="s">
        <v>361</v>
      </c>
    </row>
    <row r="388" spans="1:12" x14ac:dyDescent="0.3">
      <c r="A388" s="11" t="str">
        <f>Tb_Dados[[#This Row],[CÓD]]&amp;Tb_Dados[[#This Row],[PRODUTO]]&amp;Tb_Dados[[#This Row],[MEDIDA]]</f>
        <v>2780COLC ORIGINALE1380X1880X260</v>
      </c>
      <c r="B388" s="13" t="s">
        <v>359</v>
      </c>
      <c r="C388" s="13">
        <v>2780</v>
      </c>
      <c r="D388" s="20" t="s">
        <v>164</v>
      </c>
      <c r="E388" s="46" t="s">
        <v>362</v>
      </c>
      <c r="F388" s="15">
        <v>530.66343947332609</v>
      </c>
      <c r="G388" s="47">
        <v>265.33171973666305</v>
      </c>
      <c r="H388" s="17">
        <f t="shared" si="21"/>
        <v>1.38</v>
      </c>
      <c r="I388" s="17">
        <f t="shared" si="22"/>
        <v>1.88</v>
      </c>
      <c r="J388" s="18">
        <f t="shared" si="23"/>
        <v>0.26</v>
      </c>
      <c r="K388" s="18">
        <f t="shared" si="20"/>
        <v>6.7454399999999994</v>
      </c>
      <c r="L388" s="20" t="s">
        <v>363</v>
      </c>
    </row>
    <row r="389" spans="1:12" x14ac:dyDescent="0.3">
      <c r="A389" s="11" t="str">
        <f>Tb_Dados[[#This Row],[CÓD]]&amp;Tb_Dados[[#This Row],[PRODUTO]]&amp;Tb_Dados[[#This Row],[MEDIDA]]</f>
        <v>2780COLC ORIGINALE1580X1980X260</v>
      </c>
      <c r="B389" s="13" t="s">
        <v>359</v>
      </c>
      <c r="C389" s="13">
        <v>2780</v>
      </c>
      <c r="D389" s="20" t="s">
        <v>164</v>
      </c>
      <c r="E389" s="46" t="s">
        <v>364</v>
      </c>
      <c r="F389" s="15">
        <v>637.63322280282352</v>
      </c>
      <c r="G389" s="47">
        <v>318.81661140141176</v>
      </c>
      <c r="H389" s="17">
        <f t="shared" si="21"/>
        <v>1.58</v>
      </c>
      <c r="I389" s="17">
        <f t="shared" si="22"/>
        <v>1.98</v>
      </c>
      <c r="J389" s="18">
        <f t="shared" si="23"/>
        <v>0.26</v>
      </c>
      <c r="K389" s="18">
        <f t="shared" si="20"/>
        <v>8.1338399999999993</v>
      </c>
      <c r="L389" s="20" t="s">
        <v>365</v>
      </c>
    </row>
    <row r="390" spans="1:12" x14ac:dyDescent="0.3">
      <c r="A390" s="11" t="str">
        <f>Tb_Dados[[#This Row],[CÓD]]&amp;Tb_Dados[[#This Row],[PRODUTO]]&amp;Tb_Dados[[#This Row],[MEDIDA]]</f>
        <v>2780COLC ORIGINALE1930X2030X260</v>
      </c>
      <c r="B390" s="13" t="s">
        <v>359</v>
      </c>
      <c r="C390" s="13">
        <v>2780</v>
      </c>
      <c r="D390" s="20" t="s">
        <v>164</v>
      </c>
      <c r="E390" s="46" t="s">
        <v>366</v>
      </c>
      <c r="F390" s="15">
        <v>782.77471815267063</v>
      </c>
      <c r="G390" s="47">
        <v>391.38735907633531</v>
      </c>
      <c r="H390" s="17">
        <f t="shared" si="21"/>
        <v>1.93</v>
      </c>
      <c r="I390" s="17">
        <f t="shared" si="22"/>
        <v>2.0299999999999998</v>
      </c>
      <c r="J390" s="18">
        <f t="shared" si="23"/>
        <v>0.26</v>
      </c>
      <c r="K390" s="18">
        <f t="shared" ref="K390:K453" si="24">H390*I390*J390*10</f>
        <v>10.186539999999999</v>
      </c>
      <c r="L390" s="20" t="s">
        <v>367</v>
      </c>
    </row>
    <row r="391" spans="1:12" x14ac:dyDescent="0.3">
      <c r="A391" s="11" t="str">
        <f>Tb_Dados[[#This Row],[CÓD]]&amp;Tb_Dados[[#This Row],[PRODUTO]]&amp;Tb_Dados[[#This Row],[MEDIDA]]</f>
        <v>2875BOX ORIGINALE880X1880X250</v>
      </c>
      <c r="B391" s="13" t="s">
        <v>359</v>
      </c>
      <c r="C391" s="13">
        <v>2875</v>
      </c>
      <c r="D391" s="20" t="s">
        <v>124</v>
      </c>
      <c r="E391" s="46" t="s">
        <v>31</v>
      </c>
      <c r="F391" s="15">
        <v>198.01686451733727</v>
      </c>
      <c r="G391" s="47">
        <v>99.008432258668634</v>
      </c>
      <c r="H391" s="17">
        <f t="shared" ref="H391:H454" si="25">IF($E391="","",_xlfn.TEXTBEFORE($E391,"X")/1000)</f>
        <v>0.88</v>
      </c>
      <c r="I391" s="17">
        <f t="shared" ref="I391:I454" si="26">IF($E391="","",_xlfn.TEXTBEFORE(_xlfn.TEXTAFTER($E391,"X"),"X")/1000)</f>
        <v>1.88</v>
      </c>
      <c r="J391" s="18">
        <f t="shared" ref="J391:J454" si="27">IF($E391="","",_xlfn.TEXTAFTER($E391,"X",2)/1000)</f>
        <v>0.25</v>
      </c>
      <c r="K391" s="18">
        <f t="shared" si="24"/>
        <v>4.1359999999999992</v>
      </c>
      <c r="L391" s="20" t="s">
        <v>32</v>
      </c>
    </row>
    <row r="392" spans="1:12" x14ac:dyDescent="0.3">
      <c r="A392" s="11" t="str">
        <f>Tb_Dados[[#This Row],[CÓD]]&amp;Tb_Dados[[#This Row],[PRODUTO]]&amp;Tb_Dados[[#This Row],[MEDIDA]]</f>
        <v>2875BOX ORIGINALE1380X1880X250</v>
      </c>
      <c r="B392" s="13" t="s">
        <v>359</v>
      </c>
      <c r="C392" s="13">
        <v>2875</v>
      </c>
      <c r="D392" s="20" t="s">
        <v>124</v>
      </c>
      <c r="E392" s="46" t="s">
        <v>37</v>
      </c>
      <c r="F392" s="15">
        <v>256.5555812484248</v>
      </c>
      <c r="G392" s="47">
        <v>128.2777906242124</v>
      </c>
      <c r="H392" s="17">
        <f t="shared" si="25"/>
        <v>1.38</v>
      </c>
      <c r="I392" s="17">
        <f t="shared" si="26"/>
        <v>1.88</v>
      </c>
      <c r="J392" s="18">
        <f t="shared" si="27"/>
        <v>0.25</v>
      </c>
      <c r="K392" s="18">
        <f t="shared" si="24"/>
        <v>6.4859999999999998</v>
      </c>
      <c r="L392" s="20" t="s">
        <v>38</v>
      </c>
    </row>
    <row r="393" spans="1:12" x14ac:dyDescent="0.3">
      <c r="A393" s="11" t="str">
        <f>Tb_Dados[[#This Row],[CÓD]]&amp;Tb_Dados[[#This Row],[PRODUTO]]&amp;Tb_Dados[[#This Row],[MEDIDA]]</f>
        <v>3472BOX BIPARTIDO ORIGINALE1580X1980X250</v>
      </c>
      <c r="B393" s="13" t="s">
        <v>359</v>
      </c>
      <c r="C393" s="13">
        <v>3472</v>
      </c>
      <c r="D393" s="20" t="s">
        <v>71</v>
      </c>
      <c r="E393" s="46" t="s">
        <v>41</v>
      </c>
      <c r="F393" s="15">
        <v>440.05421137415476</v>
      </c>
      <c r="G393" s="16">
        <v>110.01355284353869</v>
      </c>
      <c r="H393" s="17">
        <f t="shared" si="25"/>
        <v>1.58</v>
      </c>
      <c r="I393" s="17">
        <f t="shared" si="26"/>
        <v>1.98</v>
      </c>
      <c r="J393" s="18">
        <f t="shared" si="27"/>
        <v>0.25</v>
      </c>
      <c r="K393" s="18">
        <f t="shared" si="24"/>
        <v>7.8209999999999997</v>
      </c>
      <c r="L393" s="20" t="s">
        <v>42</v>
      </c>
    </row>
    <row r="394" spans="1:12" x14ac:dyDescent="0.3">
      <c r="A394" s="11" t="str">
        <f>Tb_Dados[[#This Row],[CÓD]]&amp;Tb_Dados[[#This Row],[PRODUTO]]&amp;Tb_Dados[[#This Row],[MEDIDA]]</f>
        <v>3472BOX BIPARTIDO ORIGINALE1930X2030X250</v>
      </c>
      <c r="B394" s="13" t="s">
        <v>359</v>
      </c>
      <c r="C394" s="13">
        <v>3472</v>
      </c>
      <c r="D394" s="20" t="s">
        <v>71</v>
      </c>
      <c r="E394" s="46" t="s">
        <v>44</v>
      </c>
      <c r="F394" s="15">
        <v>461.97965311989498</v>
      </c>
      <c r="G394" s="16">
        <v>115.49491327997374</v>
      </c>
      <c r="H394" s="17">
        <f t="shared" si="25"/>
        <v>1.93</v>
      </c>
      <c r="I394" s="17">
        <f t="shared" si="26"/>
        <v>2.0299999999999998</v>
      </c>
      <c r="J394" s="18">
        <f t="shared" si="27"/>
        <v>0.25</v>
      </c>
      <c r="K394" s="18">
        <f t="shared" si="24"/>
        <v>9.7947499999999987</v>
      </c>
      <c r="L394" s="20" t="s">
        <v>45</v>
      </c>
    </row>
    <row r="395" spans="1:12" x14ac:dyDescent="0.3">
      <c r="A395" s="11" t="str">
        <f>Tb_Dados[[#This Row],[CÓD]]&amp;Tb_Dados[[#This Row],[PRODUTO]]&amp;Tb_Dados[[#This Row],[MEDIDA]]</f>
        <v>2875BOX ORIGINALE880X1880X300</v>
      </c>
      <c r="B395" s="13" t="s">
        <v>359</v>
      </c>
      <c r="C395" s="13">
        <v>2875</v>
      </c>
      <c r="D395" s="20" t="s">
        <v>124</v>
      </c>
      <c r="E395" s="46" t="s">
        <v>47</v>
      </c>
      <c r="F395" s="15">
        <v>205.67597144815531</v>
      </c>
      <c r="G395" s="47">
        <v>102.83798572407765</v>
      </c>
      <c r="H395" s="17">
        <f t="shared" si="25"/>
        <v>0.88</v>
      </c>
      <c r="I395" s="17">
        <f t="shared" si="26"/>
        <v>1.88</v>
      </c>
      <c r="J395" s="18">
        <f t="shared" si="27"/>
        <v>0.3</v>
      </c>
      <c r="K395" s="18">
        <f t="shared" si="24"/>
        <v>4.9631999999999996</v>
      </c>
      <c r="L395" s="20" t="s">
        <v>48</v>
      </c>
    </row>
    <row r="396" spans="1:12" x14ac:dyDescent="0.3">
      <c r="A396" s="11" t="str">
        <f>Tb_Dados[[#This Row],[CÓD]]&amp;Tb_Dados[[#This Row],[PRODUTO]]&amp;Tb_Dados[[#This Row],[MEDIDA]]</f>
        <v>2875BOX ORIGINALE1380X1880X300</v>
      </c>
      <c r="B396" s="13" t="s">
        <v>359</v>
      </c>
      <c r="C396" s="13">
        <v>2875</v>
      </c>
      <c r="D396" s="20" t="s">
        <v>124</v>
      </c>
      <c r="E396" s="46" t="s">
        <v>53</v>
      </c>
      <c r="F396" s="15">
        <v>264.89444144546036</v>
      </c>
      <c r="G396" s="47">
        <v>132.44722072273018</v>
      </c>
      <c r="H396" s="17">
        <f t="shared" si="25"/>
        <v>1.38</v>
      </c>
      <c r="I396" s="17">
        <f t="shared" si="26"/>
        <v>1.88</v>
      </c>
      <c r="J396" s="18">
        <f t="shared" si="27"/>
        <v>0.3</v>
      </c>
      <c r="K396" s="18">
        <f t="shared" si="24"/>
        <v>7.783199999999999</v>
      </c>
      <c r="L396" s="20" t="s">
        <v>54</v>
      </c>
    </row>
    <row r="397" spans="1:12" x14ac:dyDescent="0.3">
      <c r="A397" s="11" t="str">
        <f>Tb_Dados[[#This Row],[CÓD]]&amp;Tb_Dados[[#This Row],[PRODUTO]]&amp;Tb_Dados[[#This Row],[MEDIDA]]</f>
        <v>3472BOX BIPARTIDO ORIGINALE1580X1980X300</v>
      </c>
      <c r="B397" s="13" t="s">
        <v>359</v>
      </c>
      <c r="C397" s="13">
        <v>3472</v>
      </c>
      <c r="D397" s="20" t="s">
        <v>71</v>
      </c>
      <c r="E397" s="46" t="s">
        <v>56</v>
      </c>
      <c r="F397" s="15">
        <v>458.66763568768692</v>
      </c>
      <c r="G397" s="16">
        <v>114.66690892192173</v>
      </c>
      <c r="H397" s="17">
        <f t="shared" si="25"/>
        <v>1.58</v>
      </c>
      <c r="I397" s="17">
        <f t="shared" si="26"/>
        <v>1.98</v>
      </c>
      <c r="J397" s="18">
        <f t="shared" si="27"/>
        <v>0.3</v>
      </c>
      <c r="K397" s="18">
        <f t="shared" si="24"/>
        <v>9.3852000000000011</v>
      </c>
      <c r="L397" s="20" t="s">
        <v>57</v>
      </c>
    </row>
    <row r="398" spans="1:12" x14ac:dyDescent="0.3">
      <c r="A398" s="11" t="str">
        <f>Tb_Dados[[#This Row],[CÓD]]&amp;Tb_Dados[[#This Row],[PRODUTO]]&amp;Tb_Dados[[#This Row],[MEDIDA]]</f>
        <v>3472BOX BIPARTIDO ORIGINALE1930X2030X300</v>
      </c>
      <c r="B398" s="13" t="s">
        <v>359</v>
      </c>
      <c r="C398" s="13">
        <v>3472</v>
      </c>
      <c r="D398" s="20" t="s">
        <v>71</v>
      </c>
      <c r="E398" s="46" t="s">
        <v>58</v>
      </c>
      <c r="F398" s="15">
        <v>480.50628265937502</v>
      </c>
      <c r="G398" s="16">
        <v>120.12657066484375</v>
      </c>
      <c r="H398" s="17">
        <f t="shared" si="25"/>
        <v>1.93</v>
      </c>
      <c r="I398" s="17">
        <f t="shared" si="26"/>
        <v>2.0299999999999998</v>
      </c>
      <c r="J398" s="18">
        <f t="shared" si="27"/>
        <v>0.3</v>
      </c>
      <c r="K398" s="18">
        <f t="shared" si="24"/>
        <v>11.753699999999998</v>
      </c>
      <c r="L398" s="20" t="s">
        <v>59</v>
      </c>
    </row>
    <row r="399" spans="1:12" x14ac:dyDescent="0.3">
      <c r="A399" s="11" t="str">
        <f>Tb_Dados[[#This Row],[CÓD]]&amp;Tb_Dados[[#This Row],[PRODUTO]]&amp;Tb_Dados[[#This Row],[MEDIDA]]</f>
        <v>2899BOX COM AUXÍLIO ORIGINALE880X1880X300</v>
      </c>
      <c r="B399" s="13" t="s">
        <v>359</v>
      </c>
      <c r="C399" s="13">
        <v>2899</v>
      </c>
      <c r="D399" s="20" t="s">
        <v>92</v>
      </c>
      <c r="E399" s="46" t="s">
        <v>47</v>
      </c>
      <c r="F399" s="15">
        <v>440.18523566545957</v>
      </c>
      <c r="G399" s="47">
        <v>220.09261783272979</v>
      </c>
      <c r="H399" s="17">
        <f t="shared" si="25"/>
        <v>0.88</v>
      </c>
      <c r="I399" s="17">
        <f t="shared" si="26"/>
        <v>1.88</v>
      </c>
      <c r="J399" s="18">
        <f t="shared" si="27"/>
        <v>0.3</v>
      </c>
      <c r="K399" s="18">
        <f t="shared" si="24"/>
        <v>4.9631999999999996</v>
      </c>
      <c r="L399" s="20" t="s">
        <v>368</v>
      </c>
    </row>
    <row r="400" spans="1:12" x14ac:dyDescent="0.3">
      <c r="A400" s="11" t="str">
        <f>Tb_Dados[[#This Row],[CÓD]]&amp;Tb_Dados[[#This Row],[PRODUTO]]&amp;Tb_Dados[[#This Row],[MEDIDA]]</f>
        <v>2784COLC NOBILE880X1880X300</v>
      </c>
      <c r="B400" s="13" t="s">
        <v>359</v>
      </c>
      <c r="C400" s="13">
        <v>2784</v>
      </c>
      <c r="D400" s="20" t="s">
        <v>163</v>
      </c>
      <c r="E400" s="46" t="s">
        <v>47</v>
      </c>
      <c r="F400" s="15">
        <v>491.48429055732089</v>
      </c>
      <c r="G400" s="47">
        <v>245.74214527866044</v>
      </c>
      <c r="H400" s="17">
        <f t="shared" si="25"/>
        <v>0.88</v>
      </c>
      <c r="I400" s="17">
        <f t="shared" si="26"/>
        <v>1.88</v>
      </c>
      <c r="J400" s="18">
        <f t="shared" si="27"/>
        <v>0.3</v>
      </c>
      <c r="K400" s="18">
        <f t="shared" si="24"/>
        <v>4.9631999999999996</v>
      </c>
      <c r="L400" s="20" t="s">
        <v>48</v>
      </c>
    </row>
    <row r="401" spans="1:12" x14ac:dyDescent="0.3">
      <c r="A401" s="11" t="str">
        <f>Tb_Dados[[#This Row],[CÓD]]&amp;Tb_Dados[[#This Row],[PRODUTO]]&amp;Tb_Dados[[#This Row],[MEDIDA]]</f>
        <v>2784COLC NOBILE1000X2000X300</v>
      </c>
      <c r="B401" s="13" t="s">
        <v>359</v>
      </c>
      <c r="C401" s="13">
        <v>2784</v>
      </c>
      <c r="D401" s="20" t="s">
        <v>163</v>
      </c>
      <c r="E401" s="46" t="s">
        <v>234</v>
      </c>
      <c r="F401" s="15">
        <v>594.86227544400299</v>
      </c>
      <c r="G401" s="47">
        <v>297.43113772200149</v>
      </c>
      <c r="H401" s="17">
        <f t="shared" si="25"/>
        <v>1</v>
      </c>
      <c r="I401" s="17">
        <f t="shared" si="26"/>
        <v>2</v>
      </c>
      <c r="J401" s="18">
        <f t="shared" si="27"/>
        <v>0.3</v>
      </c>
      <c r="K401" s="18">
        <f t="shared" si="24"/>
        <v>6</v>
      </c>
      <c r="L401" s="20" t="s">
        <v>235</v>
      </c>
    </row>
    <row r="402" spans="1:12" x14ac:dyDescent="0.3">
      <c r="A402" s="11" t="str">
        <f>Tb_Dados[[#This Row],[CÓD]]&amp;Tb_Dados[[#This Row],[PRODUTO]]&amp;Tb_Dados[[#This Row],[MEDIDA]]</f>
        <v>2784COLC NOBILE1380X1880X300</v>
      </c>
      <c r="B402" s="13" t="s">
        <v>359</v>
      </c>
      <c r="C402" s="13">
        <v>2784</v>
      </c>
      <c r="D402" s="20" t="s">
        <v>163</v>
      </c>
      <c r="E402" s="46" t="s">
        <v>53</v>
      </c>
      <c r="F402" s="15">
        <v>706.33771470129716</v>
      </c>
      <c r="G402" s="47">
        <v>353.16885735064858</v>
      </c>
      <c r="H402" s="17">
        <f t="shared" si="25"/>
        <v>1.38</v>
      </c>
      <c r="I402" s="17">
        <f t="shared" si="26"/>
        <v>1.88</v>
      </c>
      <c r="J402" s="18">
        <f t="shared" si="27"/>
        <v>0.3</v>
      </c>
      <c r="K402" s="18">
        <f t="shared" si="24"/>
        <v>7.783199999999999</v>
      </c>
      <c r="L402" s="20" t="s">
        <v>54</v>
      </c>
    </row>
    <row r="403" spans="1:12" x14ac:dyDescent="0.3">
      <c r="A403" s="11" t="str">
        <f>Tb_Dados[[#This Row],[CÓD]]&amp;Tb_Dados[[#This Row],[PRODUTO]]&amp;Tb_Dados[[#This Row],[MEDIDA]]</f>
        <v>2784COLC NOBILE1580X1980X300</v>
      </c>
      <c r="B403" s="13" t="s">
        <v>359</v>
      </c>
      <c r="C403" s="13">
        <v>2784</v>
      </c>
      <c r="D403" s="20" t="s">
        <v>163</v>
      </c>
      <c r="E403" s="46" t="s">
        <v>56</v>
      </c>
      <c r="F403" s="15">
        <v>849.16795713527233</v>
      </c>
      <c r="G403" s="47">
        <v>424.58397856763617</v>
      </c>
      <c r="H403" s="17">
        <f t="shared" si="25"/>
        <v>1.58</v>
      </c>
      <c r="I403" s="17">
        <f t="shared" si="26"/>
        <v>1.98</v>
      </c>
      <c r="J403" s="18">
        <f t="shared" si="27"/>
        <v>0.3</v>
      </c>
      <c r="K403" s="18">
        <f t="shared" si="24"/>
        <v>9.3852000000000011</v>
      </c>
      <c r="L403" s="20" t="s">
        <v>57</v>
      </c>
    </row>
    <row r="404" spans="1:12" x14ac:dyDescent="0.3">
      <c r="A404" s="11" t="str">
        <f>Tb_Dados[[#This Row],[CÓD]]&amp;Tb_Dados[[#This Row],[PRODUTO]]&amp;Tb_Dados[[#This Row],[MEDIDA]]</f>
        <v>2784COLC NOBILE1930X2030X300</v>
      </c>
      <c r="B404" s="13" t="s">
        <v>359</v>
      </c>
      <c r="C404" s="13">
        <v>2784</v>
      </c>
      <c r="D404" s="20" t="s">
        <v>163</v>
      </c>
      <c r="E404" s="46" t="s">
        <v>58</v>
      </c>
      <c r="F404" s="15">
        <v>1005.1454037629455</v>
      </c>
      <c r="G404" s="47">
        <v>502.57270188147277</v>
      </c>
      <c r="H404" s="17">
        <f t="shared" si="25"/>
        <v>1.93</v>
      </c>
      <c r="I404" s="17">
        <f t="shared" si="26"/>
        <v>2.0299999999999998</v>
      </c>
      <c r="J404" s="18">
        <f t="shared" si="27"/>
        <v>0.3</v>
      </c>
      <c r="K404" s="18">
        <f t="shared" si="24"/>
        <v>11.753699999999998</v>
      </c>
      <c r="L404" s="20" t="s">
        <v>59</v>
      </c>
    </row>
    <row r="405" spans="1:12" x14ac:dyDescent="0.3">
      <c r="A405" s="11" t="str">
        <f>Tb_Dados[[#This Row],[CÓD]]&amp;Tb_Dados[[#This Row],[PRODUTO]]&amp;Tb_Dados[[#This Row],[MEDIDA]]</f>
        <v>2883BOX NOBILE880X1880X250</v>
      </c>
      <c r="B405" s="13" t="s">
        <v>359</v>
      </c>
      <c r="C405" s="13">
        <v>2883</v>
      </c>
      <c r="D405" s="20" t="s">
        <v>123</v>
      </c>
      <c r="E405" s="46" t="s">
        <v>31</v>
      </c>
      <c r="F405" s="15">
        <v>231.20113432412253</v>
      </c>
      <c r="G405" s="47">
        <v>115.60056716206127</v>
      </c>
      <c r="H405" s="17">
        <f t="shared" si="25"/>
        <v>0.88</v>
      </c>
      <c r="I405" s="17">
        <f t="shared" si="26"/>
        <v>1.88</v>
      </c>
      <c r="J405" s="18">
        <f t="shared" si="27"/>
        <v>0.25</v>
      </c>
      <c r="K405" s="18">
        <f t="shared" si="24"/>
        <v>4.1359999999999992</v>
      </c>
      <c r="L405" s="20" t="s">
        <v>32</v>
      </c>
    </row>
    <row r="406" spans="1:12" x14ac:dyDescent="0.3">
      <c r="A406" s="11" t="str">
        <f>Tb_Dados[[#This Row],[CÓD]]&amp;Tb_Dados[[#This Row],[PRODUTO]]&amp;Tb_Dados[[#This Row],[MEDIDA]]</f>
        <v>2883BOX NOBILE1380X1880X250</v>
      </c>
      <c r="B406" s="13" t="s">
        <v>359</v>
      </c>
      <c r="C406" s="13">
        <v>2883</v>
      </c>
      <c r="D406" s="20" t="s">
        <v>123</v>
      </c>
      <c r="E406" s="46" t="s">
        <v>37</v>
      </c>
      <c r="F406" s="15">
        <v>296.33177006535027</v>
      </c>
      <c r="G406" s="47">
        <v>148.16588503267513</v>
      </c>
      <c r="H406" s="17">
        <f t="shared" si="25"/>
        <v>1.38</v>
      </c>
      <c r="I406" s="17">
        <f t="shared" si="26"/>
        <v>1.88</v>
      </c>
      <c r="J406" s="18">
        <f t="shared" si="27"/>
        <v>0.25</v>
      </c>
      <c r="K406" s="18">
        <f t="shared" si="24"/>
        <v>6.4859999999999998</v>
      </c>
      <c r="L406" s="20" t="s">
        <v>38</v>
      </c>
    </row>
    <row r="407" spans="1:12" x14ac:dyDescent="0.3">
      <c r="A407" s="11" t="str">
        <f>Tb_Dados[[#This Row],[CÓD]]&amp;Tb_Dados[[#This Row],[PRODUTO]]&amp;Tb_Dados[[#This Row],[MEDIDA]]</f>
        <v>3473BOX BIPARTIDO NOBILE1580X1980X250</v>
      </c>
      <c r="B407" s="13" t="s">
        <v>359</v>
      </c>
      <c r="C407" s="13">
        <v>3473</v>
      </c>
      <c r="D407" s="20" t="s">
        <v>70</v>
      </c>
      <c r="E407" s="46" t="s">
        <v>41</v>
      </c>
      <c r="F407" s="15">
        <v>450.99127498424502</v>
      </c>
      <c r="G407" s="16">
        <v>112.74781874606126</v>
      </c>
      <c r="H407" s="17">
        <f t="shared" si="25"/>
        <v>1.58</v>
      </c>
      <c r="I407" s="17">
        <f t="shared" si="26"/>
        <v>1.98</v>
      </c>
      <c r="J407" s="18">
        <f t="shared" si="27"/>
        <v>0.25</v>
      </c>
      <c r="K407" s="18">
        <f t="shared" si="24"/>
        <v>7.8209999999999997</v>
      </c>
      <c r="L407" s="20" t="s">
        <v>42</v>
      </c>
    </row>
    <row r="408" spans="1:12" x14ac:dyDescent="0.3">
      <c r="A408" s="11" t="str">
        <f>Tb_Dados[[#This Row],[CÓD]]&amp;Tb_Dados[[#This Row],[PRODUTO]]&amp;Tb_Dados[[#This Row],[MEDIDA]]</f>
        <v>3473BOX BIPARTIDO NOBILE1930X2030X250</v>
      </c>
      <c r="B408" s="13" t="s">
        <v>359</v>
      </c>
      <c r="C408" s="13">
        <v>3473</v>
      </c>
      <c r="D408" s="20" t="s">
        <v>70</v>
      </c>
      <c r="E408" s="46" t="s">
        <v>44</v>
      </c>
      <c r="F408" s="15">
        <v>505.94243861722731</v>
      </c>
      <c r="G408" s="16">
        <v>126.48560965430683</v>
      </c>
      <c r="H408" s="17">
        <f t="shared" si="25"/>
        <v>1.93</v>
      </c>
      <c r="I408" s="17">
        <f t="shared" si="26"/>
        <v>2.0299999999999998</v>
      </c>
      <c r="J408" s="18">
        <f t="shared" si="27"/>
        <v>0.25</v>
      </c>
      <c r="K408" s="18">
        <f t="shared" si="24"/>
        <v>9.7947499999999987</v>
      </c>
      <c r="L408" s="20" t="s">
        <v>45</v>
      </c>
    </row>
    <row r="409" spans="1:12" x14ac:dyDescent="0.3">
      <c r="A409" s="11" t="str">
        <f>Tb_Dados[[#This Row],[CÓD]]&amp;Tb_Dados[[#This Row],[PRODUTO]]&amp;Tb_Dados[[#This Row],[MEDIDA]]</f>
        <v>2883BOX NOBILE880X1880X300</v>
      </c>
      <c r="B409" s="13" t="s">
        <v>359</v>
      </c>
      <c r="C409" s="13">
        <v>2883</v>
      </c>
      <c r="D409" s="20" t="s">
        <v>123</v>
      </c>
      <c r="E409" s="46" t="s">
        <v>47</v>
      </c>
      <c r="F409" s="15">
        <v>243.85068821593512</v>
      </c>
      <c r="G409" s="47">
        <v>121.92534410796756</v>
      </c>
      <c r="H409" s="17">
        <f t="shared" si="25"/>
        <v>0.88</v>
      </c>
      <c r="I409" s="17">
        <f t="shared" si="26"/>
        <v>1.88</v>
      </c>
      <c r="J409" s="18">
        <f t="shared" si="27"/>
        <v>0.3</v>
      </c>
      <c r="K409" s="18">
        <f t="shared" si="24"/>
        <v>4.9631999999999996</v>
      </c>
      <c r="L409" s="20" t="s">
        <v>48</v>
      </c>
    </row>
    <row r="410" spans="1:12" x14ac:dyDescent="0.3">
      <c r="A410" s="11" t="str">
        <f>Tb_Dados[[#This Row],[CÓD]]&amp;Tb_Dados[[#This Row],[PRODUTO]]&amp;Tb_Dados[[#This Row],[MEDIDA]]</f>
        <v>2883BOX NOBILE1380X1880X300</v>
      </c>
      <c r="B410" s="13" t="s">
        <v>359</v>
      </c>
      <c r="C410" s="13">
        <v>2883</v>
      </c>
      <c r="D410" s="20" t="s">
        <v>123</v>
      </c>
      <c r="E410" s="46" t="s">
        <v>53</v>
      </c>
      <c r="F410" s="15">
        <v>310.70577818070086</v>
      </c>
      <c r="G410" s="47">
        <v>155.35288909035043</v>
      </c>
      <c r="H410" s="17">
        <f t="shared" si="25"/>
        <v>1.38</v>
      </c>
      <c r="I410" s="17">
        <f t="shared" si="26"/>
        <v>1.88</v>
      </c>
      <c r="J410" s="18">
        <f t="shared" si="27"/>
        <v>0.3</v>
      </c>
      <c r="K410" s="18">
        <f t="shared" si="24"/>
        <v>7.783199999999999</v>
      </c>
      <c r="L410" s="20" t="s">
        <v>54</v>
      </c>
    </row>
    <row r="411" spans="1:12" x14ac:dyDescent="0.3">
      <c r="A411" s="11" t="str">
        <f>Tb_Dados[[#This Row],[CÓD]]&amp;Tb_Dados[[#This Row],[PRODUTO]]&amp;Tb_Dados[[#This Row],[MEDIDA]]</f>
        <v>3473BOX BIPARTIDO NOBILE1580X1980X300</v>
      </c>
      <c r="B411" s="13" t="s">
        <v>359</v>
      </c>
      <c r="C411" s="13">
        <v>3473</v>
      </c>
      <c r="D411" s="20" t="s">
        <v>70</v>
      </c>
      <c r="E411" s="46" t="s">
        <v>56</v>
      </c>
      <c r="F411" s="15">
        <v>474.29425348787026</v>
      </c>
      <c r="G411" s="16">
        <v>118.57356337196757</v>
      </c>
      <c r="H411" s="17">
        <f t="shared" si="25"/>
        <v>1.58</v>
      </c>
      <c r="I411" s="17">
        <f t="shared" si="26"/>
        <v>1.98</v>
      </c>
      <c r="J411" s="18">
        <f t="shared" si="27"/>
        <v>0.3</v>
      </c>
      <c r="K411" s="18">
        <f t="shared" si="24"/>
        <v>9.3852000000000011</v>
      </c>
      <c r="L411" s="20" t="s">
        <v>57</v>
      </c>
    </row>
    <row r="412" spans="1:12" x14ac:dyDescent="0.3">
      <c r="A412" s="11" t="str">
        <f>Tb_Dados[[#This Row],[CÓD]]&amp;Tb_Dados[[#This Row],[PRODUTO]]&amp;Tb_Dados[[#This Row],[MEDIDA]]</f>
        <v>3473BOX BIPARTIDO NOBILE1930X2030X300</v>
      </c>
      <c r="B412" s="13" t="s">
        <v>359</v>
      </c>
      <c r="C412" s="48">
        <v>3473</v>
      </c>
      <c r="D412" s="34" t="s">
        <v>70</v>
      </c>
      <c r="E412" s="49" t="s">
        <v>58</v>
      </c>
      <c r="F412" s="50">
        <v>537.47749697968277</v>
      </c>
      <c r="G412" s="16">
        <v>134.36937424492069</v>
      </c>
      <c r="H412" s="51">
        <f t="shared" si="25"/>
        <v>1.93</v>
      </c>
      <c r="I412" s="51">
        <f t="shared" si="26"/>
        <v>2.0299999999999998</v>
      </c>
      <c r="J412" s="52">
        <f t="shared" si="27"/>
        <v>0.3</v>
      </c>
      <c r="K412" s="52">
        <f t="shared" si="24"/>
        <v>11.753699999999998</v>
      </c>
      <c r="L412" s="20" t="s">
        <v>59</v>
      </c>
    </row>
    <row r="413" spans="1:12" x14ac:dyDescent="0.3">
      <c r="A413" s="11" t="str">
        <f>Tb_Dados[[#This Row],[CÓD]]&amp;Tb_Dados[[#This Row],[PRODUTO]]&amp;Tb_Dados[[#This Row],[MEDIDA]]</f>
        <v>2899BOX COM AUXÍLIO NOBILE880X1880X300</v>
      </c>
      <c r="B413" s="13" t="s">
        <v>359</v>
      </c>
      <c r="C413" s="13">
        <v>2899</v>
      </c>
      <c r="D413" s="20" t="s">
        <v>91</v>
      </c>
      <c r="E413" s="46" t="s">
        <v>47</v>
      </c>
      <c r="F413" s="15">
        <v>473.69419363027163</v>
      </c>
      <c r="G413" s="47">
        <v>236.84709681513581</v>
      </c>
      <c r="H413" s="17">
        <f t="shared" si="25"/>
        <v>0.88</v>
      </c>
      <c r="I413" s="17">
        <f t="shared" si="26"/>
        <v>1.88</v>
      </c>
      <c r="J413" s="18">
        <f t="shared" si="27"/>
        <v>0.3</v>
      </c>
      <c r="K413" s="18">
        <f t="shared" si="24"/>
        <v>4.9631999999999996</v>
      </c>
      <c r="L413" s="20" t="s">
        <v>369</v>
      </c>
    </row>
    <row r="414" spans="1:12" x14ac:dyDescent="0.3">
      <c r="A414" s="11" t="str">
        <f>Tb_Dados[[#This Row],[CÓD]]&amp;Tb_Dados[[#This Row],[PRODUTO]]&amp;Tb_Dados[[#This Row],[MEDIDA]]</f>
        <v>8260BOX POCKET NOBILE1000X2000X300</v>
      </c>
      <c r="B414" s="13" t="s">
        <v>359</v>
      </c>
      <c r="C414" s="13">
        <v>8260</v>
      </c>
      <c r="D414" s="20" t="s">
        <v>126</v>
      </c>
      <c r="E414" s="46" t="s">
        <v>234</v>
      </c>
      <c r="F414" s="15">
        <v>653.91455036322861</v>
      </c>
      <c r="G414" s="47">
        <v>326.95727518161431</v>
      </c>
      <c r="H414" s="17">
        <f t="shared" si="25"/>
        <v>1</v>
      </c>
      <c r="I414" s="17">
        <f t="shared" si="26"/>
        <v>2</v>
      </c>
      <c r="J414" s="18">
        <f t="shared" si="27"/>
        <v>0.3</v>
      </c>
      <c r="K414" s="18">
        <f t="shared" si="24"/>
        <v>6</v>
      </c>
      <c r="L414" s="20" t="s">
        <v>370</v>
      </c>
    </row>
    <row r="415" spans="1:12" x14ac:dyDescent="0.3">
      <c r="A415" s="11" t="str">
        <f>Tb_Dados[[#This Row],[CÓD]]&amp;Tb_Dados[[#This Row],[PRODUTO]]&amp;Tb_Dados[[#This Row],[MEDIDA]]</f>
        <v>2788COLC MAESTRO880X1880X330</v>
      </c>
      <c r="B415" s="13" t="s">
        <v>359</v>
      </c>
      <c r="C415" s="13">
        <v>2788</v>
      </c>
      <c r="D415" s="20" t="s">
        <v>157</v>
      </c>
      <c r="E415" s="46" t="s">
        <v>371</v>
      </c>
      <c r="F415" s="15">
        <v>667.08991106245446</v>
      </c>
      <c r="G415" s="47">
        <v>333.54495553122723</v>
      </c>
      <c r="H415" s="17">
        <f t="shared" si="25"/>
        <v>0.88</v>
      </c>
      <c r="I415" s="17">
        <f t="shared" si="26"/>
        <v>1.88</v>
      </c>
      <c r="J415" s="18">
        <f t="shared" si="27"/>
        <v>0.33</v>
      </c>
      <c r="K415" s="18">
        <f t="shared" si="24"/>
        <v>5.4595199999999995</v>
      </c>
      <c r="L415" s="20" t="s">
        <v>372</v>
      </c>
    </row>
    <row r="416" spans="1:12" x14ac:dyDescent="0.3">
      <c r="A416" s="11" t="str">
        <f>Tb_Dados[[#This Row],[CÓD]]&amp;Tb_Dados[[#This Row],[PRODUTO]]&amp;Tb_Dados[[#This Row],[MEDIDA]]</f>
        <v>2788COLC MAESTRO1380X1880X330</v>
      </c>
      <c r="B416" s="13" t="s">
        <v>359</v>
      </c>
      <c r="C416" s="13">
        <v>2788</v>
      </c>
      <c r="D416" s="20" t="s">
        <v>157</v>
      </c>
      <c r="E416" s="46" t="s">
        <v>373</v>
      </c>
      <c r="F416" s="15">
        <v>1076.1463473435933</v>
      </c>
      <c r="G416" s="47">
        <v>538.07317367179667</v>
      </c>
      <c r="H416" s="17">
        <f t="shared" si="25"/>
        <v>1.38</v>
      </c>
      <c r="I416" s="17">
        <f t="shared" si="26"/>
        <v>1.88</v>
      </c>
      <c r="J416" s="18">
        <f t="shared" si="27"/>
        <v>0.33</v>
      </c>
      <c r="K416" s="18">
        <f t="shared" si="24"/>
        <v>8.5615199999999998</v>
      </c>
      <c r="L416" s="20" t="s">
        <v>374</v>
      </c>
    </row>
    <row r="417" spans="1:12" x14ac:dyDescent="0.3">
      <c r="A417" s="11" t="str">
        <f>Tb_Dados[[#This Row],[CÓD]]&amp;Tb_Dados[[#This Row],[PRODUTO]]&amp;Tb_Dados[[#This Row],[MEDIDA]]</f>
        <v>2788COLC MAESTRO1580X1980X330</v>
      </c>
      <c r="B417" s="13" t="s">
        <v>359</v>
      </c>
      <c r="C417" s="13">
        <v>2788</v>
      </c>
      <c r="D417" s="20" t="s">
        <v>157</v>
      </c>
      <c r="E417" s="46" t="s">
        <v>375</v>
      </c>
      <c r="F417" s="15">
        <v>1249.1311658169377</v>
      </c>
      <c r="G417" s="47">
        <v>624.56558290846885</v>
      </c>
      <c r="H417" s="17">
        <f t="shared" si="25"/>
        <v>1.58</v>
      </c>
      <c r="I417" s="17">
        <f t="shared" si="26"/>
        <v>1.98</v>
      </c>
      <c r="J417" s="18">
        <f t="shared" si="27"/>
        <v>0.33</v>
      </c>
      <c r="K417" s="18">
        <f t="shared" si="24"/>
        <v>10.323720000000002</v>
      </c>
      <c r="L417" s="20" t="s">
        <v>376</v>
      </c>
    </row>
    <row r="418" spans="1:12" x14ac:dyDescent="0.3">
      <c r="A418" s="11" t="str">
        <f>Tb_Dados[[#This Row],[CÓD]]&amp;Tb_Dados[[#This Row],[PRODUTO]]&amp;Tb_Dados[[#This Row],[MEDIDA]]</f>
        <v>2788COLC MAESTRO1930X2030X330</v>
      </c>
      <c r="B418" s="13" t="s">
        <v>359</v>
      </c>
      <c r="C418" s="13">
        <v>2788</v>
      </c>
      <c r="D418" s="20" t="s">
        <v>157</v>
      </c>
      <c r="E418" s="46" t="s">
        <v>377</v>
      </c>
      <c r="F418" s="15">
        <v>1517.9457661501121</v>
      </c>
      <c r="G418" s="47">
        <v>758.97288307505607</v>
      </c>
      <c r="H418" s="17">
        <f t="shared" si="25"/>
        <v>1.93</v>
      </c>
      <c r="I418" s="17">
        <f t="shared" si="26"/>
        <v>2.0299999999999998</v>
      </c>
      <c r="J418" s="18">
        <f t="shared" si="27"/>
        <v>0.33</v>
      </c>
      <c r="K418" s="18">
        <f t="shared" si="24"/>
        <v>12.929069999999998</v>
      </c>
      <c r="L418" s="20" t="s">
        <v>378</v>
      </c>
    </row>
    <row r="419" spans="1:12" x14ac:dyDescent="0.3">
      <c r="A419" s="11" t="str">
        <f>Tb_Dados[[#This Row],[CÓD]]&amp;Tb_Dados[[#This Row],[PRODUTO]]&amp;Tb_Dados[[#This Row],[MEDIDA]]</f>
        <v>2895BOX MAESTRO880X1880X250</v>
      </c>
      <c r="B419" s="13" t="s">
        <v>359</v>
      </c>
      <c r="C419" s="13">
        <v>2895</v>
      </c>
      <c r="D419" s="20" t="s">
        <v>113</v>
      </c>
      <c r="E419" s="46" t="s">
        <v>31</v>
      </c>
      <c r="F419" s="15">
        <v>376.17122706374874</v>
      </c>
      <c r="G419" s="47">
        <v>188.08561353187437</v>
      </c>
      <c r="H419" s="17">
        <f t="shared" si="25"/>
        <v>0.88</v>
      </c>
      <c r="I419" s="17">
        <f t="shared" si="26"/>
        <v>1.88</v>
      </c>
      <c r="J419" s="18">
        <f t="shared" si="27"/>
        <v>0.25</v>
      </c>
      <c r="K419" s="18">
        <f t="shared" si="24"/>
        <v>4.1359999999999992</v>
      </c>
      <c r="L419" s="20" t="s">
        <v>32</v>
      </c>
    </row>
    <row r="420" spans="1:12" x14ac:dyDescent="0.3">
      <c r="A420" s="11" t="str">
        <f>Tb_Dados[[#This Row],[CÓD]]&amp;Tb_Dados[[#This Row],[PRODUTO]]&amp;Tb_Dados[[#This Row],[MEDIDA]]</f>
        <v>2895BOX MAESTRO1380X1880X250</v>
      </c>
      <c r="B420" s="13" t="s">
        <v>359</v>
      </c>
      <c r="C420" s="13">
        <v>2895</v>
      </c>
      <c r="D420" s="20" t="s">
        <v>113</v>
      </c>
      <c r="E420" s="46" t="s">
        <v>37</v>
      </c>
      <c r="F420" s="15">
        <v>450.77175985312408</v>
      </c>
      <c r="G420" s="47">
        <v>225.38587992656204</v>
      </c>
      <c r="H420" s="17">
        <f t="shared" si="25"/>
        <v>1.38</v>
      </c>
      <c r="I420" s="17">
        <f t="shared" si="26"/>
        <v>1.88</v>
      </c>
      <c r="J420" s="18">
        <f t="shared" si="27"/>
        <v>0.25</v>
      </c>
      <c r="K420" s="18">
        <f t="shared" si="24"/>
        <v>6.4859999999999998</v>
      </c>
      <c r="L420" s="20" t="s">
        <v>38</v>
      </c>
    </row>
    <row r="421" spans="1:12" x14ac:dyDescent="0.3">
      <c r="A421" s="11" t="str">
        <f>Tb_Dados[[#This Row],[CÓD]]&amp;Tb_Dados[[#This Row],[PRODUTO]]&amp;Tb_Dados[[#This Row],[MEDIDA]]</f>
        <v>3476BOX BIPARTIDO MAESTRO1580X1980X250</v>
      </c>
      <c r="B421" s="13" t="s">
        <v>359</v>
      </c>
      <c r="C421" s="13">
        <v>3476</v>
      </c>
      <c r="D421" s="20" t="s">
        <v>55</v>
      </c>
      <c r="E421" s="46" t="s">
        <v>41</v>
      </c>
      <c r="F421" s="15">
        <v>739.1304831834974</v>
      </c>
      <c r="G421" s="16">
        <v>184.78262079587435</v>
      </c>
      <c r="H421" s="17">
        <f t="shared" si="25"/>
        <v>1.58</v>
      </c>
      <c r="I421" s="17">
        <f t="shared" si="26"/>
        <v>1.98</v>
      </c>
      <c r="J421" s="18">
        <f t="shared" si="27"/>
        <v>0.25</v>
      </c>
      <c r="K421" s="18">
        <f t="shared" si="24"/>
        <v>7.8209999999999997</v>
      </c>
      <c r="L421" s="20" t="s">
        <v>42</v>
      </c>
    </row>
    <row r="422" spans="1:12" x14ac:dyDescent="0.3">
      <c r="A422" s="11" t="str">
        <f>Tb_Dados[[#This Row],[CÓD]]&amp;Tb_Dados[[#This Row],[PRODUTO]]&amp;Tb_Dados[[#This Row],[MEDIDA]]</f>
        <v>3476BOX BIPARTIDO MAESTRO1930X2030X250</v>
      </c>
      <c r="B422" s="13" t="s">
        <v>359</v>
      </c>
      <c r="C422" s="13">
        <v>3476</v>
      </c>
      <c r="D422" s="20" t="s">
        <v>55</v>
      </c>
      <c r="E422" s="46" t="s">
        <v>44</v>
      </c>
      <c r="F422" s="15">
        <v>803.45854173499777</v>
      </c>
      <c r="G422" s="16">
        <v>200.86463543374944</v>
      </c>
      <c r="H422" s="17">
        <f t="shared" si="25"/>
        <v>1.93</v>
      </c>
      <c r="I422" s="17">
        <f t="shared" si="26"/>
        <v>2.0299999999999998</v>
      </c>
      <c r="J422" s="18">
        <f t="shared" si="27"/>
        <v>0.25</v>
      </c>
      <c r="K422" s="18">
        <f t="shared" si="24"/>
        <v>9.7947499999999987</v>
      </c>
      <c r="L422" s="20" t="s">
        <v>45</v>
      </c>
    </row>
    <row r="423" spans="1:12" x14ac:dyDescent="0.3">
      <c r="A423" s="11" t="str">
        <f>Tb_Dados[[#This Row],[CÓD]]&amp;Tb_Dados[[#This Row],[PRODUTO]]&amp;Tb_Dados[[#This Row],[MEDIDA]]</f>
        <v>2895BOX MAESTRO880X1880X300</v>
      </c>
      <c r="B423" s="13" t="s">
        <v>359</v>
      </c>
      <c r="C423" s="13">
        <v>2895</v>
      </c>
      <c r="D423" s="20" t="s">
        <v>113</v>
      </c>
      <c r="E423" s="46" t="s">
        <v>47</v>
      </c>
      <c r="F423" s="15">
        <v>396.9232446459132</v>
      </c>
      <c r="G423" s="47">
        <v>198.4616223229566</v>
      </c>
      <c r="H423" s="17">
        <f t="shared" si="25"/>
        <v>0.88</v>
      </c>
      <c r="I423" s="17">
        <f t="shared" si="26"/>
        <v>1.88</v>
      </c>
      <c r="J423" s="18">
        <f t="shared" si="27"/>
        <v>0.3</v>
      </c>
      <c r="K423" s="18">
        <f t="shared" si="24"/>
        <v>4.9631999999999996</v>
      </c>
      <c r="L423" s="20" t="s">
        <v>48</v>
      </c>
    </row>
    <row r="424" spans="1:12" x14ac:dyDescent="0.3">
      <c r="A424" s="11" t="str">
        <f>Tb_Dados[[#This Row],[CÓD]]&amp;Tb_Dados[[#This Row],[PRODUTO]]&amp;Tb_Dados[[#This Row],[MEDIDA]]</f>
        <v>2895BOX MAESTRO1380X1880X300</v>
      </c>
      <c r="B424" s="13" t="s">
        <v>359</v>
      </c>
      <c r="C424" s="13">
        <v>2895</v>
      </c>
      <c r="D424" s="20" t="s">
        <v>113</v>
      </c>
      <c r="E424" s="46" t="s">
        <v>53</v>
      </c>
      <c r="F424" s="15">
        <v>474.67464580696918</v>
      </c>
      <c r="G424" s="47">
        <v>237.33732290348459</v>
      </c>
      <c r="H424" s="17">
        <f t="shared" si="25"/>
        <v>1.38</v>
      </c>
      <c r="I424" s="17">
        <f t="shared" si="26"/>
        <v>1.88</v>
      </c>
      <c r="J424" s="18">
        <f t="shared" si="27"/>
        <v>0.3</v>
      </c>
      <c r="K424" s="18">
        <f t="shared" si="24"/>
        <v>7.783199999999999</v>
      </c>
      <c r="L424" s="20" t="s">
        <v>54</v>
      </c>
    </row>
    <row r="425" spans="1:12" x14ac:dyDescent="0.3">
      <c r="A425" s="11" t="str">
        <f>Tb_Dados[[#This Row],[CÓD]]&amp;Tb_Dados[[#This Row],[PRODUTO]]&amp;Tb_Dados[[#This Row],[MEDIDA]]</f>
        <v>3476BOX BIPARTIDO MAESTRO1580X1980X300</v>
      </c>
      <c r="B425" s="13" t="s">
        <v>359</v>
      </c>
      <c r="C425" s="13">
        <v>3476</v>
      </c>
      <c r="D425" s="20" t="s">
        <v>55</v>
      </c>
      <c r="E425" s="46" t="s">
        <v>56</v>
      </c>
      <c r="F425" s="15">
        <v>780.43936634782642</v>
      </c>
      <c r="G425" s="16">
        <v>195.10984158695661</v>
      </c>
      <c r="H425" s="17">
        <f t="shared" si="25"/>
        <v>1.58</v>
      </c>
      <c r="I425" s="17">
        <f t="shared" si="26"/>
        <v>1.98</v>
      </c>
      <c r="J425" s="18">
        <f t="shared" si="27"/>
        <v>0.3</v>
      </c>
      <c r="K425" s="18">
        <f t="shared" si="24"/>
        <v>9.3852000000000011</v>
      </c>
      <c r="L425" s="20" t="s">
        <v>57</v>
      </c>
    </row>
    <row r="426" spans="1:12" x14ac:dyDescent="0.3">
      <c r="A426" s="11" t="str">
        <f>Tb_Dados[[#This Row],[CÓD]]&amp;Tb_Dados[[#This Row],[PRODUTO]]&amp;Tb_Dados[[#This Row],[MEDIDA]]</f>
        <v>3476BOX BIPARTIDO MAESTRO1930X2030X300</v>
      </c>
      <c r="B426" s="13" t="s">
        <v>359</v>
      </c>
      <c r="C426" s="13">
        <v>3476</v>
      </c>
      <c r="D426" s="20" t="s">
        <v>55</v>
      </c>
      <c r="E426" s="46" t="s">
        <v>58</v>
      </c>
      <c r="F426" s="15">
        <v>852.33965879667107</v>
      </c>
      <c r="G426" s="16">
        <v>213.08491469916777</v>
      </c>
      <c r="H426" s="17">
        <f t="shared" si="25"/>
        <v>1.93</v>
      </c>
      <c r="I426" s="17">
        <f t="shared" si="26"/>
        <v>2.0299999999999998</v>
      </c>
      <c r="J426" s="18">
        <f t="shared" si="27"/>
        <v>0.3</v>
      </c>
      <c r="K426" s="18">
        <f t="shared" si="24"/>
        <v>11.753699999999998</v>
      </c>
      <c r="L426" s="20" t="s">
        <v>59</v>
      </c>
    </row>
    <row r="427" spans="1:12" x14ac:dyDescent="0.3">
      <c r="A427" s="11" t="str">
        <f>Tb_Dados[[#This Row],[CÓD]]&amp;Tb_Dados[[#This Row],[PRODUTO]]&amp;Tb_Dados[[#This Row],[MEDIDA]]</f>
        <v>2899BOX COM AUXÍLIO MAESTRO880X1880X300</v>
      </c>
      <c r="B427" s="13" t="s">
        <v>359</v>
      </c>
      <c r="C427" s="13">
        <v>2899</v>
      </c>
      <c r="D427" s="20" t="s">
        <v>87</v>
      </c>
      <c r="E427" s="46" t="s">
        <v>47</v>
      </c>
      <c r="F427" s="15">
        <v>755.29843887959407</v>
      </c>
      <c r="G427" s="47">
        <v>377.64921943979704</v>
      </c>
      <c r="H427" s="17">
        <f t="shared" si="25"/>
        <v>0.88</v>
      </c>
      <c r="I427" s="17">
        <f t="shared" si="26"/>
        <v>1.88</v>
      </c>
      <c r="J427" s="18">
        <f t="shared" si="27"/>
        <v>0.3</v>
      </c>
      <c r="K427" s="18">
        <f t="shared" si="24"/>
        <v>4.9631999999999996</v>
      </c>
      <c r="L427" s="20" t="s">
        <v>379</v>
      </c>
    </row>
    <row r="428" spans="1:12" x14ac:dyDescent="0.3">
      <c r="A428" s="11" t="str">
        <f>Tb_Dados[[#This Row],[CÓD]]&amp;Tb_Dados[[#This Row],[PRODUTO]]&amp;Tb_Dados[[#This Row],[MEDIDA]]</f>
        <v>2756COLC ECOROYAL880X1880X300</v>
      </c>
      <c r="B428" s="13" t="s">
        <v>359</v>
      </c>
      <c r="C428" s="13">
        <v>2756</v>
      </c>
      <c r="D428" s="20" t="s">
        <v>152</v>
      </c>
      <c r="E428" s="46" t="s">
        <v>47</v>
      </c>
      <c r="F428" s="15">
        <v>1230.6715563233936</v>
      </c>
      <c r="G428" s="47">
        <v>615.33577816169679</v>
      </c>
      <c r="H428" s="17">
        <f t="shared" si="25"/>
        <v>0.88</v>
      </c>
      <c r="I428" s="17">
        <f t="shared" si="26"/>
        <v>1.88</v>
      </c>
      <c r="J428" s="18">
        <f t="shared" si="27"/>
        <v>0.3</v>
      </c>
      <c r="K428" s="18">
        <f t="shared" si="24"/>
        <v>4.9631999999999996</v>
      </c>
      <c r="L428" s="20" t="s">
        <v>48</v>
      </c>
    </row>
    <row r="429" spans="1:12" x14ac:dyDescent="0.3">
      <c r="A429" s="11" t="str">
        <f>Tb_Dados[[#This Row],[CÓD]]&amp;Tb_Dados[[#This Row],[PRODUTO]]&amp;Tb_Dados[[#This Row],[MEDIDA]]</f>
        <v>2756COLC ECOROYAL1380X1880X300</v>
      </c>
      <c r="B429" s="13" t="s">
        <v>359</v>
      </c>
      <c r="C429" s="13">
        <v>2756</v>
      </c>
      <c r="D429" s="20" t="s">
        <v>152</v>
      </c>
      <c r="E429" s="46" t="s">
        <v>53</v>
      </c>
      <c r="F429" s="15">
        <v>1899.9120480650133</v>
      </c>
      <c r="G429" s="47">
        <v>949.95602403250666</v>
      </c>
      <c r="H429" s="17">
        <f t="shared" si="25"/>
        <v>1.38</v>
      </c>
      <c r="I429" s="17">
        <f t="shared" si="26"/>
        <v>1.88</v>
      </c>
      <c r="J429" s="18">
        <f t="shared" si="27"/>
        <v>0.3</v>
      </c>
      <c r="K429" s="18">
        <f t="shared" si="24"/>
        <v>7.783199999999999</v>
      </c>
      <c r="L429" s="20" t="s">
        <v>54</v>
      </c>
    </row>
    <row r="430" spans="1:12" x14ac:dyDescent="0.3">
      <c r="A430" s="11" t="str">
        <f>Tb_Dados[[#This Row],[CÓD]]&amp;Tb_Dados[[#This Row],[PRODUTO]]&amp;Tb_Dados[[#This Row],[MEDIDA]]</f>
        <v>2756COLC ECOROYAL1580X1980X300</v>
      </c>
      <c r="B430" s="13" t="s">
        <v>359</v>
      </c>
      <c r="C430" s="13">
        <v>2756</v>
      </c>
      <c r="D430" s="20" t="s">
        <v>152</v>
      </c>
      <c r="E430" s="46" t="s">
        <v>56</v>
      </c>
      <c r="F430" s="15">
        <v>2189.1697212680442</v>
      </c>
      <c r="G430" s="47">
        <v>1094.5848606340221</v>
      </c>
      <c r="H430" s="17">
        <f t="shared" si="25"/>
        <v>1.58</v>
      </c>
      <c r="I430" s="17">
        <f t="shared" si="26"/>
        <v>1.98</v>
      </c>
      <c r="J430" s="18">
        <f t="shared" si="27"/>
        <v>0.3</v>
      </c>
      <c r="K430" s="18">
        <f t="shared" si="24"/>
        <v>9.3852000000000011</v>
      </c>
      <c r="L430" s="20" t="s">
        <v>57</v>
      </c>
    </row>
    <row r="431" spans="1:12" x14ac:dyDescent="0.3">
      <c r="A431" s="11" t="str">
        <f>Tb_Dados[[#This Row],[CÓD]]&amp;Tb_Dados[[#This Row],[PRODUTO]]&amp;Tb_Dados[[#This Row],[MEDIDA]]</f>
        <v>2756COLC ECOROYAL1930X2030X300</v>
      </c>
      <c r="B431" s="13" t="s">
        <v>359</v>
      </c>
      <c r="C431" s="13">
        <v>2756</v>
      </c>
      <c r="D431" s="20" t="s">
        <v>152</v>
      </c>
      <c r="E431" s="46" t="s">
        <v>58</v>
      </c>
      <c r="F431" s="15">
        <v>2780.8121587430278</v>
      </c>
      <c r="G431" s="47">
        <v>1390.4060793715139</v>
      </c>
      <c r="H431" s="17">
        <f t="shared" si="25"/>
        <v>1.93</v>
      </c>
      <c r="I431" s="17">
        <f t="shared" si="26"/>
        <v>2.0299999999999998</v>
      </c>
      <c r="J431" s="18">
        <f t="shared" si="27"/>
        <v>0.3</v>
      </c>
      <c r="K431" s="18">
        <f t="shared" si="24"/>
        <v>11.753699999999998</v>
      </c>
      <c r="L431" s="20" t="s">
        <v>59</v>
      </c>
    </row>
    <row r="432" spans="1:12" x14ac:dyDescent="0.3">
      <c r="A432" s="11" t="str">
        <f>Tb_Dados[[#This Row],[CÓD]]&amp;Tb_Dados[[#This Row],[PRODUTO]]&amp;Tb_Dados[[#This Row],[MEDIDA]]</f>
        <v>2887BOX ECOROYAL880X1880X250</v>
      </c>
      <c r="B432" s="13" t="s">
        <v>359</v>
      </c>
      <c r="C432" s="13">
        <v>2887</v>
      </c>
      <c r="D432" s="20" t="s">
        <v>109</v>
      </c>
      <c r="E432" s="46" t="s">
        <v>31</v>
      </c>
      <c r="F432" s="15">
        <v>354.06174846729067</v>
      </c>
      <c r="G432" s="47">
        <v>177.03087423364533</v>
      </c>
      <c r="H432" s="17">
        <f t="shared" si="25"/>
        <v>0.88</v>
      </c>
      <c r="I432" s="17">
        <f t="shared" si="26"/>
        <v>1.88</v>
      </c>
      <c r="J432" s="18">
        <f t="shared" si="27"/>
        <v>0.25</v>
      </c>
      <c r="K432" s="18">
        <f t="shared" si="24"/>
        <v>4.1359999999999992</v>
      </c>
      <c r="L432" s="20" t="s">
        <v>32</v>
      </c>
    </row>
    <row r="433" spans="1:12" x14ac:dyDescent="0.3">
      <c r="A433" s="11" t="str">
        <f>Tb_Dados[[#This Row],[CÓD]]&amp;Tb_Dados[[#This Row],[PRODUTO]]&amp;Tb_Dados[[#This Row],[MEDIDA]]</f>
        <v>2887BOX ECOROYAL1380X1880X250</v>
      </c>
      <c r="B433" s="13" t="s">
        <v>359</v>
      </c>
      <c r="C433" s="13">
        <v>2887</v>
      </c>
      <c r="D433" s="20" t="s">
        <v>109</v>
      </c>
      <c r="E433" s="46" t="s">
        <v>37</v>
      </c>
      <c r="F433" s="15">
        <v>424.7141600787271</v>
      </c>
      <c r="G433" s="47">
        <v>212.35708003936355</v>
      </c>
      <c r="H433" s="17">
        <f t="shared" si="25"/>
        <v>1.38</v>
      </c>
      <c r="I433" s="17">
        <f t="shared" si="26"/>
        <v>1.88</v>
      </c>
      <c r="J433" s="18">
        <f t="shared" si="27"/>
        <v>0.25</v>
      </c>
      <c r="K433" s="18">
        <f t="shared" si="24"/>
        <v>6.4859999999999998</v>
      </c>
      <c r="L433" s="20" t="s">
        <v>38</v>
      </c>
    </row>
    <row r="434" spans="1:12" x14ac:dyDescent="0.3">
      <c r="A434" s="11" t="str">
        <f>Tb_Dados[[#This Row],[CÓD]]&amp;Tb_Dados[[#This Row],[PRODUTO]]&amp;Tb_Dados[[#This Row],[MEDIDA]]</f>
        <v>3474BOX BIPARTIDO ECOROYAL1580X1980X250</v>
      </c>
      <c r="B434" s="13" t="s">
        <v>359</v>
      </c>
      <c r="C434" s="13">
        <v>3474</v>
      </c>
      <c r="D434" s="20" t="s">
        <v>43</v>
      </c>
      <c r="E434" s="46" t="s">
        <v>41</v>
      </c>
      <c r="F434" s="15">
        <v>694.91152599058125</v>
      </c>
      <c r="G434" s="16">
        <v>173.72788149764531</v>
      </c>
      <c r="H434" s="17">
        <f t="shared" si="25"/>
        <v>1.58</v>
      </c>
      <c r="I434" s="17">
        <f t="shared" si="26"/>
        <v>1.98</v>
      </c>
      <c r="J434" s="18">
        <f t="shared" si="27"/>
        <v>0.25</v>
      </c>
      <c r="K434" s="18">
        <f t="shared" si="24"/>
        <v>7.8209999999999997</v>
      </c>
      <c r="L434" s="20" t="s">
        <v>42</v>
      </c>
    </row>
    <row r="435" spans="1:12" x14ac:dyDescent="0.3">
      <c r="A435" s="11" t="str">
        <f>Tb_Dados[[#This Row],[CÓD]]&amp;Tb_Dados[[#This Row],[PRODUTO]]&amp;Tb_Dados[[#This Row],[MEDIDA]]</f>
        <v>3474BOX BIPARTIDO ECOROYAL1930X2030X250</v>
      </c>
      <c r="B435" s="13" t="s">
        <v>359</v>
      </c>
      <c r="C435" s="13">
        <v>3474</v>
      </c>
      <c r="D435" s="20" t="s">
        <v>43</v>
      </c>
      <c r="E435" s="46" t="s">
        <v>44</v>
      </c>
      <c r="F435" s="15">
        <v>756.08108759973049</v>
      </c>
      <c r="G435" s="16">
        <v>189.02027189993262</v>
      </c>
      <c r="H435" s="17">
        <f t="shared" si="25"/>
        <v>1.93</v>
      </c>
      <c r="I435" s="17">
        <f t="shared" si="26"/>
        <v>2.0299999999999998</v>
      </c>
      <c r="J435" s="18">
        <f t="shared" si="27"/>
        <v>0.25</v>
      </c>
      <c r="K435" s="18">
        <f t="shared" si="24"/>
        <v>9.7947499999999987</v>
      </c>
      <c r="L435" s="20" t="s">
        <v>45</v>
      </c>
    </row>
    <row r="436" spans="1:12" x14ac:dyDescent="0.3">
      <c r="A436" s="11" t="str">
        <f>Tb_Dados[[#This Row],[CÓD]]&amp;Tb_Dados[[#This Row],[PRODUTO]]&amp;Tb_Dados[[#This Row],[MEDIDA]]</f>
        <v>2887BOX ECOROYAL880X1880X300</v>
      </c>
      <c r="B436" s="13" t="s">
        <v>359</v>
      </c>
      <c r="C436" s="13">
        <v>2887</v>
      </c>
      <c r="D436" s="20" t="s">
        <v>109</v>
      </c>
      <c r="E436" s="46" t="s">
        <v>47</v>
      </c>
      <c r="F436" s="15">
        <v>371.28143836558888</v>
      </c>
      <c r="G436" s="47">
        <v>185.64071918279444</v>
      </c>
      <c r="H436" s="17">
        <f t="shared" si="25"/>
        <v>0.88</v>
      </c>
      <c r="I436" s="17">
        <f t="shared" si="26"/>
        <v>1.88</v>
      </c>
      <c r="J436" s="18">
        <f t="shared" si="27"/>
        <v>0.3</v>
      </c>
      <c r="K436" s="18">
        <f t="shared" si="24"/>
        <v>4.9631999999999996</v>
      </c>
      <c r="L436" s="20" t="s">
        <v>48</v>
      </c>
    </row>
    <row r="437" spans="1:12" x14ac:dyDescent="0.3">
      <c r="A437" s="11" t="str">
        <f>Tb_Dados[[#This Row],[CÓD]]&amp;Tb_Dados[[#This Row],[PRODUTO]]&amp;Tb_Dados[[#This Row],[MEDIDA]]</f>
        <v>2887BOX ECOROYAL1380X1880X300</v>
      </c>
      <c r="B437" s="13" t="s">
        <v>359</v>
      </c>
      <c r="C437" s="13">
        <v>2887</v>
      </c>
      <c r="D437" s="20" t="s">
        <v>109</v>
      </c>
      <c r="E437" s="46" t="s">
        <v>53</v>
      </c>
      <c r="F437" s="15">
        <v>444.4539455480155</v>
      </c>
      <c r="G437" s="47">
        <v>222.22697277400775</v>
      </c>
      <c r="H437" s="17">
        <f t="shared" si="25"/>
        <v>1.38</v>
      </c>
      <c r="I437" s="17">
        <f t="shared" si="26"/>
        <v>1.88</v>
      </c>
      <c r="J437" s="18">
        <f t="shared" si="27"/>
        <v>0.3</v>
      </c>
      <c r="K437" s="18">
        <f t="shared" si="24"/>
        <v>7.783199999999999</v>
      </c>
      <c r="L437" s="20" t="s">
        <v>54</v>
      </c>
    </row>
    <row r="438" spans="1:12" x14ac:dyDescent="0.3">
      <c r="A438" s="11" t="str">
        <f>Tb_Dados[[#This Row],[CÓD]]&amp;Tb_Dados[[#This Row],[PRODUTO]]&amp;Tb_Dados[[#This Row],[MEDIDA]]</f>
        <v>3474BOX BIPARTIDO ECOROYAL1580X1980X300</v>
      </c>
      <c r="B438" s="13" t="s">
        <v>359</v>
      </c>
      <c r="C438" s="13">
        <v>3474</v>
      </c>
      <c r="D438" s="20" t="s">
        <v>43</v>
      </c>
      <c r="E438" s="46" t="s">
        <v>56</v>
      </c>
      <c r="F438" s="15">
        <v>729.15575378717779</v>
      </c>
      <c r="G438" s="16">
        <v>182.28893844679445</v>
      </c>
      <c r="H438" s="17">
        <f t="shared" si="25"/>
        <v>1.58</v>
      </c>
      <c r="I438" s="17">
        <f t="shared" si="26"/>
        <v>1.98</v>
      </c>
      <c r="J438" s="18">
        <f t="shared" si="27"/>
        <v>0.3</v>
      </c>
      <c r="K438" s="18">
        <f t="shared" si="24"/>
        <v>9.3852000000000011</v>
      </c>
      <c r="L438" s="20" t="s">
        <v>57</v>
      </c>
    </row>
    <row r="439" spans="1:12" x14ac:dyDescent="0.3">
      <c r="A439" s="11" t="str">
        <f>Tb_Dados[[#This Row],[CÓD]]&amp;Tb_Dados[[#This Row],[PRODUTO]]&amp;Tb_Dados[[#This Row],[MEDIDA]]</f>
        <v>3474BOX BIPARTIDO ECOROYAL1930X2030X300</v>
      </c>
      <c r="B439" s="13" t="s">
        <v>359</v>
      </c>
      <c r="C439" s="13">
        <v>3474</v>
      </c>
      <c r="D439" s="20" t="s">
        <v>43</v>
      </c>
      <c r="E439" s="46" t="s">
        <v>58</v>
      </c>
      <c r="F439" s="15">
        <v>797.39293105311901</v>
      </c>
      <c r="G439" s="16">
        <v>199.34823276327975</v>
      </c>
      <c r="H439" s="17">
        <f t="shared" si="25"/>
        <v>1.93</v>
      </c>
      <c r="I439" s="17">
        <f t="shared" si="26"/>
        <v>2.0299999999999998</v>
      </c>
      <c r="J439" s="18">
        <f t="shared" si="27"/>
        <v>0.3</v>
      </c>
      <c r="K439" s="18">
        <f t="shared" si="24"/>
        <v>11.753699999999998</v>
      </c>
      <c r="L439" s="20" t="s">
        <v>59</v>
      </c>
    </row>
    <row r="440" spans="1:12" x14ac:dyDescent="0.3">
      <c r="A440" s="11" t="str">
        <f>Tb_Dados[[#This Row],[CÓD]]&amp;Tb_Dados[[#This Row],[PRODUTO]]&amp;Tb_Dados[[#This Row],[MEDIDA]]</f>
        <v>2899BOX COM AUXÍLIO ECOROYAL880X1880X300</v>
      </c>
      <c r="B440" s="13" t="s">
        <v>359</v>
      </c>
      <c r="C440" s="13">
        <v>2899</v>
      </c>
      <c r="D440" s="20" t="s">
        <v>85</v>
      </c>
      <c r="E440" s="46" t="s">
        <v>47</v>
      </c>
      <c r="F440" s="15">
        <v>730.33546315370108</v>
      </c>
      <c r="G440" s="47">
        <v>365.16773157685054</v>
      </c>
      <c r="H440" s="17">
        <f t="shared" si="25"/>
        <v>0.88</v>
      </c>
      <c r="I440" s="17">
        <f t="shared" si="26"/>
        <v>1.88</v>
      </c>
      <c r="J440" s="18">
        <f t="shared" si="27"/>
        <v>0.3</v>
      </c>
      <c r="K440" s="18">
        <f t="shared" si="24"/>
        <v>4.9631999999999996</v>
      </c>
      <c r="L440" s="20" t="s">
        <v>380</v>
      </c>
    </row>
    <row r="441" spans="1:12" x14ac:dyDescent="0.3">
      <c r="A441" s="11" t="str">
        <f>Tb_Dados[[#This Row],[CÓD]]&amp;Tb_Dados[[#This Row],[PRODUTO]]&amp;Tb_Dados[[#This Row],[MEDIDA]]</f>
        <v>2792COLC SUPERIORE880X1880X350</v>
      </c>
      <c r="B441" s="13" t="s">
        <v>359</v>
      </c>
      <c r="C441" s="13">
        <v>2792</v>
      </c>
      <c r="D441" s="20" t="s">
        <v>170</v>
      </c>
      <c r="E441" s="46" t="s">
        <v>15</v>
      </c>
      <c r="F441" s="15">
        <v>1190.6001975286269</v>
      </c>
      <c r="G441" s="47">
        <v>595.30009876431347</v>
      </c>
      <c r="H441" s="17">
        <f t="shared" si="25"/>
        <v>0.88</v>
      </c>
      <c r="I441" s="17">
        <f t="shared" si="26"/>
        <v>1.88</v>
      </c>
      <c r="J441" s="18">
        <f t="shared" si="27"/>
        <v>0.35</v>
      </c>
      <c r="K441" s="18">
        <f t="shared" si="24"/>
        <v>5.7903999999999991</v>
      </c>
      <c r="L441" s="20" t="s">
        <v>16</v>
      </c>
    </row>
    <row r="442" spans="1:12" x14ac:dyDescent="0.3">
      <c r="A442" s="11" t="str">
        <f>Tb_Dados[[#This Row],[CÓD]]&amp;Tb_Dados[[#This Row],[PRODUTO]]&amp;Tb_Dados[[#This Row],[MEDIDA]]</f>
        <v>2792COLC SUPERIORE1380X1880X350</v>
      </c>
      <c r="B442" s="13" t="s">
        <v>359</v>
      </c>
      <c r="C442" s="13">
        <v>2792</v>
      </c>
      <c r="D442" s="20" t="s">
        <v>170</v>
      </c>
      <c r="E442" s="46" t="s">
        <v>21</v>
      </c>
      <c r="F442" s="15">
        <v>1939.1115592523429</v>
      </c>
      <c r="G442" s="47">
        <v>969.55577962617144</v>
      </c>
      <c r="H442" s="17">
        <f t="shared" si="25"/>
        <v>1.38</v>
      </c>
      <c r="I442" s="17">
        <f t="shared" si="26"/>
        <v>1.88</v>
      </c>
      <c r="J442" s="18">
        <f t="shared" si="27"/>
        <v>0.35</v>
      </c>
      <c r="K442" s="18">
        <f t="shared" si="24"/>
        <v>9.0803999999999991</v>
      </c>
      <c r="L442" s="20" t="s">
        <v>22</v>
      </c>
    </row>
    <row r="443" spans="1:12" x14ac:dyDescent="0.3">
      <c r="A443" s="11" t="str">
        <f>Tb_Dados[[#This Row],[CÓD]]&amp;Tb_Dados[[#This Row],[PRODUTO]]&amp;Tb_Dados[[#This Row],[MEDIDA]]</f>
        <v>2792COLC SUPERIORE1580X1980X350</v>
      </c>
      <c r="B443" s="13" t="s">
        <v>359</v>
      </c>
      <c r="C443" s="13">
        <v>2792</v>
      </c>
      <c r="D443" s="20" t="s">
        <v>170</v>
      </c>
      <c r="E443" s="46" t="s">
        <v>24</v>
      </c>
      <c r="F443" s="15">
        <v>2205.0712607716105</v>
      </c>
      <c r="G443" s="47">
        <v>1102.5356303858052</v>
      </c>
      <c r="H443" s="17">
        <f t="shared" si="25"/>
        <v>1.58</v>
      </c>
      <c r="I443" s="17">
        <f t="shared" si="26"/>
        <v>1.98</v>
      </c>
      <c r="J443" s="18">
        <f t="shared" si="27"/>
        <v>0.35</v>
      </c>
      <c r="K443" s="18">
        <f t="shared" si="24"/>
        <v>10.949400000000001</v>
      </c>
      <c r="L443" s="20" t="s">
        <v>25</v>
      </c>
    </row>
    <row r="444" spans="1:12" x14ac:dyDescent="0.3">
      <c r="A444" s="11" t="str">
        <f>Tb_Dados[[#This Row],[CÓD]]&amp;Tb_Dados[[#This Row],[PRODUTO]]&amp;Tb_Dados[[#This Row],[MEDIDA]]</f>
        <v>2792COLC SUPERIORE1930X2030X350</v>
      </c>
      <c r="B444" s="13" t="s">
        <v>359</v>
      </c>
      <c r="C444" s="13">
        <v>2792</v>
      </c>
      <c r="D444" s="20" t="s">
        <v>170</v>
      </c>
      <c r="E444" s="46" t="s">
        <v>27</v>
      </c>
      <c r="F444" s="15">
        <v>2724.0148755293399</v>
      </c>
      <c r="G444" s="47">
        <v>1362.0074377646699</v>
      </c>
      <c r="H444" s="17">
        <f t="shared" si="25"/>
        <v>1.93</v>
      </c>
      <c r="I444" s="17">
        <f t="shared" si="26"/>
        <v>2.0299999999999998</v>
      </c>
      <c r="J444" s="18">
        <f t="shared" si="27"/>
        <v>0.35</v>
      </c>
      <c r="K444" s="18">
        <f t="shared" si="24"/>
        <v>13.712649999999996</v>
      </c>
      <c r="L444" s="20" t="s">
        <v>28</v>
      </c>
    </row>
    <row r="445" spans="1:12" x14ac:dyDescent="0.3">
      <c r="A445" s="11" t="str">
        <f>Tb_Dados[[#This Row],[CÓD]]&amp;Tb_Dados[[#This Row],[PRODUTO]]&amp;Tb_Dados[[#This Row],[MEDIDA]]</f>
        <v>2891BOX SUPERIORE880X1880X250</v>
      </c>
      <c r="B445" s="13" t="s">
        <v>359</v>
      </c>
      <c r="C445" s="13">
        <v>2891</v>
      </c>
      <c r="D445" s="20" t="s">
        <v>134</v>
      </c>
      <c r="E445" s="46" t="s">
        <v>31</v>
      </c>
      <c r="F445" s="15">
        <v>388.82124039824959</v>
      </c>
      <c r="G445" s="47">
        <v>194.41062019912479</v>
      </c>
      <c r="H445" s="17">
        <f t="shared" si="25"/>
        <v>0.88</v>
      </c>
      <c r="I445" s="17">
        <f t="shared" si="26"/>
        <v>1.88</v>
      </c>
      <c r="J445" s="18">
        <f t="shared" si="27"/>
        <v>0.25</v>
      </c>
      <c r="K445" s="18">
        <f t="shared" si="24"/>
        <v>4.1359999999999992</v>
      </c>
      <c r="L445" s="20" t="s">
        <v>32</v>
      </c>
    </row>
    <row r="446" spans="1:12" x14ac:dyDescent="0.3">
      <c r="A446" s="11" t="str">
        <f>Tb_Dados[[#This Row],[CÓD]]&amp;Tb_Dados[[#This Row],[PRODUTO]]&amp;Tb_Dados[[#This Row],[MEDIDA]]</f>
        <v>2891BOX SUPERIORE1380X1880X250</v>
      </c>
      <c r="B446" s="13" t="s">
        <v>359</v>
      </c>
      <c r="C446" s="13">
        <v>2891</v>
      </c>
      <c r="D446" s="20" t="s">
        <v>134</v>
      </c>
      <c r="E446" s="46" t="s">
        <v>37</v>
      </c>
      <c r="F446" s="15">
        <v>465.68070414021435</v>
      </c>
      <c r="G446" s="47">
        <v>232.84035207010717</v>
      </c>
      <c r="H446" s="17">
        <f t="shared" si="25"/>
        <v>1.38</v>
      </c>
      <c r="I446" s="17">
        <f t="shared" si="26"/>
        <v>1.88</v>
      </c>
      <c r="J446" s="18">
        <f t="shared" si="27"/>
        <v>0.25</v>
      </c>
      <c r="K446" s="18">
        <f t="shared" si="24"/>
        <v>6.4859999999999998</v>
      </c>
      <c r="L446" s="20" t="s">
        <v>38</v>
      </c>
    </row>
    <row r="447" spans="1:12" x14ac:dyDescent="0.3">
      <c r="A447" s="11" t="str">
        <f>Tb_Dados[[#This Row],[CÓD]]&amp;Tb_Dados[[#This Row],[PRODUTO]]&amp;Tb_Dados[[#This Row],[MEDIDA]]</f>
        <v>3475BOX BIPARTIDO SUPERIORE1580X1980X250</v>
      </c>
      <c r="B447" s="13" t="s">
        <v>359</v>
      </c>
      <c r="C447" s="13">
        <v>3475</v>
      </c>
      <c r="D447" s="20" t="s">
        <v>81</v>
      </c>
      <c r="E447" s="46" t="s">
        <v>41</v>
      </c>
      <c r="F447" s="15">
        <v>764.43050985249909</v>
      </c>
      <c r="G447" s="16">
        <v>191.10762746312477</v>
      </c>
      <c r="H447" s="17">
        <f t="shared" si="25"/>
        <v>1.58</v>
      </c>
      <c r="I447" s="17">
        <f t="shared" si="26"/>
        <v>1.98</v>
      </c>
      <c r="J447" s="18">
        <f t="shared" si="27"/>
        <v>0.25</v>
      </c>
      <c r="K447" s="18">
        <f t="shared" si="24"/>
        <v>7.8209999999999997</v>
      </c>
      <c r="L447" s="20" t="s">
        <v>42</v>
      </c>
    </row>
    <row r="448" spans="1:12" x14ac:dyDescent="0.3">
      <c r="A448" s="11" t="str">
        <f>Tb_Dados[[#This Row],[CÓD]]&amp;Tb_Dados[[#This Row],[PRODUTO]]&amp;Tb_Dados[[#This Row],[MEDIDA]]</f>
        <v>3475BOX BIPARTIDO SUPERIORE1930X2030X250</v>
      </c>
      <c r="B448" s="13" t="s">
        <v>359</v>
      </c>
      <c r="C448" s="13">
        <v>3475</v>
      </c>
      <c r="D448" s="20" t="s">
        <v>81</v>
      </c>
      <c r="E448" s="46" t="s">
        <v>44</v>
      </c>
      <c r="F448" s="15">
        <v>830.56571316607096</v>
      </c>
      <c r="G448" s="16">
        <v>207.64142829151774</v>
      </c>
      <c r="H448" s="17">
        <f t="shared" si="25"/>
        <v>1.93</v>
      </c>
      <c r="I448" s="17">
        <f t="shared" si="26"/>
        <v>2.0299999999999998</v>
      </c>
      <c r="J448" s="18">
        <f t="shared" si="27"/>
        <v>0.25</v>
      </c>
      <c r="K448" s="18">
        <f t="shared" si="24"/>
        <v>9.7947499999999987</v>
      </c>
      <c r="L448" s="20" t="s">
        <v>45</v>
      </c>
    </row>
    <row r="449" spans="1:12" x14ac:dyDescent="0.3">
      <c r="A449" s="11" t="str">
        <f>Tb_Dados[[#This Row],[CÓD]]&amp;Tb_Dados[[#This Row],[PRODUTO]]&amp;Tb_Dados[[#This Row],[MEDIDA]]</f>
        <v>2891BOX SUPERIORE880X1880X300</v>
      </c>
      <c r="B449" s="13" t="s">
        <v>359</v>
      </c>
      <c r="C449" s="13">
        <v>2891</v>
      </c>
      <c r="D449" s="20" t="s">
        <v>134</v>
      </c>
      <c r="E449" s="46" t="s">
        <v>47</v>
      </c>
      <c r="F449" s="15">
        <v>411.54103783244744</v>
      </c>
      <c r="G449" s="47">
        <v>205.77051891622372</v>
      </c>
      <c r="H449" s="17">
        <f t="shared" si="25"/>
        <v>0.88</v>
      </c>
      <c r="I449" s="17">
        <f t="shared" si="26"/>
        <v>1.88</v>
      </c>
      <c r="J449" s="18">
        <f t="shared" si="27"/>
        <v>0.3</v>
      </c>
      <c r="K449" s="18">
        <f t="shared" si="24"/>
        <v>4.9631999999999996</v>
      </c>
      <c r="L449" s="20" t="s">
        <v>48</v>
      </c>
    </row>
    <row r="450" spans="1:12" x14ac:dyDescent="0.3">
      <c r="A450" s="11" t="str">
        <f>Tb_Dados[[#This Row],[CÓD]]&amp;Tb_Dados[[#This Row],[PRODUTO]]&amp;Tb_Dados[[#This Row],[MEDIDA]]</f>
        <v>2891BOX SUPERIORE1380X1880X300</v>
      </c>
      <c r="B450" s="13" t="s">
        <v>359</v>
      </c>
      <c r="C450" s="13">
        <v>2891</v>
      </c>
      <c r="D450" s="20" t="s">
        <v>134</v>
      </c>
      <c r="E450" s="46" t="s">
        <v>53</v>
      </c>
      <c r="F450" s="15">
        <v>491.90275920538448</v>
      </c>
      <c r="G450" s="47">
        <v>245.95137960269224</v>
      </c>
      <c r="H450" s="17">
        <f t="shared" si="25"/>
        <v>1.38</v>
      </c>
      <c r="I450" s="17">
        <f t="shared" si="26"/>
        <v>1.88</v>
      </c>
      <c r="J450" s="18">
        <f t="shared" si="27"/>
        <v>0.3</v>
      </c>
      <c r="K450" s="18">
        <f t="shared" si="24"/>
        <v>7.783199999999999</v>
      </c>
      <c r="L450" s="20" t="s">
        <v>54</v>
      </c>
    </row>
    <row r="451" spans="1:12" x14ac:dyDescent="0.3">
      <c r="A451" s="11" t="str">
        <f>Tb_Dados[[#This Row],[CÓD]]&amp;Tb_Dados[[#This Row],[PRODUTO]]&amp;Tb_Dados[[#This Row],[MEDIDA]]</f>
        <v>3475BOX BIPARTIDO SUPERIORE1580X1980X300</v>
      </c>
      <c r="B451" s="13" t="s">
        <v>359</v>
      </c>
      <c r="C451" s="13">
        <v>3475</v>
      </c>
      <c r="D451" s="20" t="s">
        <v>81</v>
      </c>
      <c r="E451" s="46" t="s">
        <v>56</v>
      </c>
      <c r="F451" s="15">
        <v>809.67495272089479</v>
      </c>
      <c r="G451" s="16">
        <v>202.4187381802237</v>
      </c>
      <c r="H451" s="17">
        <f t="shared" si="25"/>
        <v>1.58</v>
      </c>
      <c r="I451" s="17">
        <f t="shared" si="26"/>
        <v>1.98</v>
      </c>
      <c r="J451" s="18">
        <f t="shared" si="27"/>
        <v>0.3</v>
      </c>
      <c r="K451" s="18">
        <f t="shared" si="24"/>
        <v>9.3852000000000011</v>
      </c>
      <c r="L451" s="20" t="s">
        <v>57</v>
      </c>
    </row>
    <row r="452" spans="1:12" x14ac:dyDescent="0.3">
      <c r="A452" s="11" t="str">
        <f>Tb_Dados[[#This Row],[CÓD]]&amp;Tb_Dados[[#This Row],[PRODUTO]]&amp;Tb_Dados[[#This Row],[MEDIDA]]</f>
        <v>3475BOX BIPARTIDO SUPERIORE1930X2030X300</v>
      </c>
      <c r="B452" s="13" t="s">
        <v>359</v>
      </c>
      <c r="C452" s="13">
        <v>3475</v>
      </c>
      <c r="D452" s="20" t="s">
        <v>81</v>
      </c>
      <c r="E452" s="46" t="s">
        <v>58</v>
      </c>
      <c r="F452" s="15">
        <v>883.66350133924448</v>
      </c>
      <c r="G452" s="16">
        <v>220.91587533481112</v>
      </c>
      <c r="H452" s="17">
        <f t="shared" si="25"/>
        <v>1.93</v>
      </c>
      <c r="I452" s="17">
        <f t="shared" si="26"/>
        <v>2.0299999999999998</v>
      </c>
      <c r="J452" s="18">
        <f t="shared" si="27"/>
        <v>0.3</v>
      </c>
      <c r="K452" s="18">
        <f t="shared" si="24"/>
        <v>11.753699999999998</v>
      </c>
      <c r="L452" s="20" t="s">
        <v>59</v>
      </c>
    </row>
    <row r="453" spans="1:12" x14ac:dyDescent="0.3">
      <c r="A453" s="11" t="str">
        <f>Tb_Dados[[#This Row],[CÓD]]&amp;Tb_Dados[[#This Row],[PRODUTO]]&amp;Tb_Dados[[#This Row],[MEDIDA]]</f>
        <v>2899BOX COM AUXÍLIO SUPERIORE880X1880X300</v>
      </c>
      <c r="B453" s="13" t="s">
        <v>359</v>
      </c>
      <c r="C453" s="13">
        <v>2899</v>
      </c>
      <c r="D453" s="20" t="s">
        <v>106</v>
      </c>
      <c r="E453" s="46" t="s">
        <v>47</v>
      </c>
      <c r="F453" s="15">
        <v>803.00195556089614</v>
      </c>
      <c r="G453" s="47">
        <v>401.50097778044807</v>
      </c>
      <c r="H453" s="17">
        <f t="shared" si="25"/>
        <v>0.88</v>
      </c>
      <c r="I453" s="17">
        <f t="shared" si="26"/>
        <v>1.88</v>
      </c>
      <c r="J453" s="18">
        <f t="shared" si="27"/>
        <v>0.3</v>
      </c>
      <c r="K453" s="18">
        <f t="shared" si="24"/>
        <v>4.9631999999999996</v>
      </c>
      <c r="L453" s="20" t="s">
        <v>381</v>
      </c>
    </row>
    <row r="454" spans="1:12" x14ac:dyDescent="0.3">
      <c r="A454" s="11" t="str">
        <f>Tb_Dados[[#This Row],[CÓD]]&amp;Tb_Dados[[#This Row],[PRODUTO]]&amp;Tb_Dados[[#This Row],[MEDIDA]]</f>
        <v>2744MAXFIRM D65880X1880X260</v>
      </c>
      <c r="B454" s="13" t="s">
        <v>359</v>
      </c>
      <c r="C454" s="13">
        <v>2744</v>
      </c>
      <c r="D454" s="20" t="s">
        <v>174</v>
      </c>
      <c r="E454" s="46" t="s">
        <v>360</v>
      </c>
      <c r="F454" s="15">
        <v>497.5527685917354</v>
      </c>
      <c r="G454" s="47">
        <v>248.7763842958677</v>
      </c>
      <c r="H454" s="17">
        <f t="shared" si="25"/>
        <v>0.88</v>
      </c>
      <c r="I454" s="17">
        <f t="shared" si="26"/>
        <v>1.88</v>
      </c>
      <c r="J454" s="18">
        <f t="shared" si="27"/>
        <v>0.26</v>
      </c>
      <c r="K454" s="18">
        <f t="shared" ref="K454:K488" si="28">H454*I454*J454*10</f>
        <v>4.3014399999999995</v>
      </c>
      <c r="L454" s="20" t="s">
        <v>361</v>
      </c>
    </row>
    <row r="455" spans="1:12" x14ac:dyDescent="0.3">
      <c r="A455" s="11" t="str">
        <f>Tb_Dados[[#This Row],[CÓD]]&amp;Tb_Dados[[#This Row],[PRODUTO]]&amp;Tb_Dados[[#This Row],[MEDIDA]]</f>
        <v>2744MAXFIRM D651000X2000X260</v>
      </c>
      <c r="B455" s="13" t="s">
        <v>359</v>
      </c>
      <c r="C455" s="13">
        <v>2744</v>
      </c>
      <c r="D455" s="20" t="s">
        <v>174</v>
      </c>
      <c r="E455" s="46" t="s">
        <v>382</v>
      </c>
      <c r="F455" s="15">
        <v>594.0375882237272</v>
      </c>
      <c r="G455" s="47">
        <v>297.0187941118636</v>
      </c>
      <c r="H455" s="17">
        <f t="shared" ref="H455:H488" si="29">IF($E455="","",_xlfn.TEXTBEFORE($E455,"X")/1000)</f>
        <v>1</v>
      </c>
      <c r="I455" s="17">
        <f t="shared" ref="I455:I488" si="30">IF($E455="","",_xlfn.TEXTBEFORE(_xlfn.TEXTAFTER($E455,"X"),"X")/1000)</f>
        <v>2</v>
      </c>
      <c r="J455" s="18">
        <f t="shared" ref="J455:J488" si="31">IF($E455="","",_xlfn.TEXTAFTER($E455,"X",2)/1000)</f>
        <v>0.26</v>
      </c>
      <c r="K455" s="18">
        <f t="shared" si="28"/>
        <v>5.2</v>
      </c>
      <c r="L455" s="20" t="s">
        <v>383</v>
      </c>
    </row>
    <row r="456" spans="1:12" x14ac:dyDescent="0.3">
      <c r="A456" s="11" t="str">
        <f>Tb_Dados[[#This Row],[CÓD]]&amp;Tb_Dados[[#This Row],[PRODUTO]]&amp;Tb_Dados[[#This Row],[MEDIDA]]</f>
        <v>2744MAXFIRM D651380X1880X260</v>
      </c>
      <c r="B456" s="13" t="s">
        <v>359</v>
      </c>
      <c r="C456" s="13">
        <v>2744</v>
      </c>
      <c r="D456" s="20" t="s">
        <v>174</v>
      </c>
      <c r="E456" s="46" t="s">
        <v>362</v>
      </c>
      <c r="F456" s="15">
        <v>746.71321175716719</v>
      </c>
      <c r="G456" s="47">
        <v>373.35660587858359</v>
      </c>
      <c r="H456" s="17">
        <f t="shared" si="29"/>
        <v>1.38</v>
      </c>
      <c r="I456" s="17">
        <f t="shared" si="30"/>
        <v>1.88</v>
      </c>
      <c r="J456" s="18">
        <f t="shared" si="31"/>
        <v>0.26</v>
      </c>
      <c r="K456" s="18">
        <f t="shared" si="28"/>
        <v>6.7454399999999994</v>
      </c>
      <c r="L456" s="20" t="s">
        <v>363</v>
      </c>
    </row>
    <row r="457" spans="1:12" x14ac:dyDescent="0.3">
      <c r="A457" s="11" t="str">
        <f>Tb_Dados[[#This Row],[CÓD]]&amp;Tb_Dados[[#This Row],[PRODUTO]]&amp;Tb_Dados[[#This Row],[MEDIDA]]</f>
        <v>2744MAXFIRM D651580X1980X260</v>
      </c>
      <c r="B457" s="13" t="s">
        <v>359</v>
      </c>
      <c r="C457" s="13">
        <v>2744</v>
      </c>
      <c r="D457" s="20" t="s">
        <v>174</v>
      </c>
      <c r="E457" s="46" t="s">
        <v>364</v>
      </c>
      <c r="F457" s="15">
        <v>863.04870154110517</v>
      </c>
      <c r="G457" s="47">
        <v>431.52435077055259</v>
      </c>
      <c r="H457" s="17">
        <f t="shared" si="29"/>
        <v>1.58</v>
      </c>
      <c r="I457" s="17">
        <f t="shared" si="30"/>
        <v>1.98</v>
      </c>
      <c r="J457" s="18">
        <f t="shared" si="31"/>
        <v>0.26</v>
      </c>
      <c r="K457" s="18">
        <f t="shared" si="28"/>
        <v>8.1338399999999993</v>
      </c>
      <c r="L457" s="20" t="s">
        <v>365</v>
      </c>
    </row>
    <row r="458" spans="1:12" x14ac:dyDescent="0.3">
      <c r="A458" s="11" t="str">
        <f>Tb_Dados[[#This Row],[CÓD]]&amp;Tb_Dados[[#This Row],[PRODUTO]]&amp;Tb_Dados[[#This Row],[MEDIDA]]</f>
        <v>2744MAXFIRM D651930X2030X260</v>
      </c>
      <c r="B458" s="13" t="s">
        <v>359</v>
      </c>
      <c r="C458" s="13">
        <v>2744</v>
      </c>
      <c r="D458" s="20" t="s">
        <v>174</v>
      </c>
      <c r="E458" s="46" t="s">
        <v>366</v>
      </c>
      <c r="F458" s="15">
        <v>1075.9268261950056</v>
      </c>
      <c r="G458" s="47">
        <v>537.96341309750278</v>
      </c>
      <c r="H458" s="17">
        <f t="shared" si="29"/>
        <v>1.93</v>
      </c>
      <c r="I458" s="17">
        <f t="shared" si="30"/>
        <v>2.0299999999999998</v>
      </c>
      <c r="J458" s="18">
        <f t="shared" si="31"/>
        <v>0.26</v>
      </c>
      <c r="K458" s="18">
        <f t="shared" si="28"/>
        <v>10.186539999999999</v>
      </c>
      <c r="L458" s="20" t="s">
        <v>367</v>
      </c>
    </row>
    <row r="459" spans="1:12" x14ac:dyDescent="0.3">
      <c r="A459" s="11" t="str">
        <f>Tb_Dados[[#This Row],[CÓD]]&amp;Tb_Dados[[#This Row],[PRODUTO]]&amp;Tb_Dados[[#This Row],[MEDIDA]]</f>
        <v>2931BOX SUEDE CINZA880X1880X250</v>
      </c>
      <c r="B459" s="13" t="s">
        <v>359</v>
      </c>
      <c r="C459" s="13">
        <v>2931</v>
      </c>
      <c r="D459" s="20" t="s">
        <v>131</v>
      </c>
      <c r="E459" s="46" t="s">
        <v>31</v>
      </c>
      <c r="F459" s="15">
        <v>185.05496451733725</v>
      </c>
      <c r="G459" s="47">
        <v>92.527482258668627</v>
      </c>
      <c r="H459" s="17">
        <f t="shared" si="29"/>
        <v>0.88</v>
      </c>
      <c r="I459" s="17">
        <f t="shared" si="30"/>
        <v>1.88</v>
      </c>
      <c r="J459" s="18">
        <f t="shared" si="31"/>
        <v>0.25</v>
      </c>
      <c r="K459" s="18">
        <f t="shared" si="28"/>
        <v>4.1359999999999992</v>
      </c>
      <c r="L459" s="20" t="s">
        <v>32</v>
      </c>
    </row>
    <row r="460" spans="1:12" x14ac:dyDescent="0.3">
      <c r="A460" s="11" t="str">
        <f>Tb_Dados[[#This Row],[CÓD]]&amp;Tb_Dados[[#This Row],[PRODUTO]]&amp;Tb_Dados[[#This Row],[MEDIDA]]</f>
        <v>2931BOX SUEDE CINZA1000X2000X250</v>
      </c>
      <c r="B460" s="13" t="s">
        <v>359</v>
      </c>
      <c r="C460" s="13">
        <v>2931</v>
      </c>
      <c r="D460" s="20" t="s">
        <v>131</v>
      </c>
      <c r="E460" s="46" t="s">
        <v>232</v>
      </c>
      <c r="F460" s="15">
        <v>209.74665770577229</v>
      </c>
      <c r="G460" s="47">
        <v>104.87332885288615</v>
      </c>
      <c r="H460" s="17">
        <f t="shared" si="29"/>
        <v>1</v>
      </c>
      <c r="I460" s="17">
        <f t="shared" si="30"/>
        <v>2</v>
      </c>
      <c r="J460" s="18">
        <f t="shared" si="31"/>
        <v>0.25</v>
      </c>
      <c r="K460" s="18">
        <f t="shared" si="28"/>
        <v>5</v>
      </c>
      <c r="L460" s="20" t="s">
        <v>233</v>
      </c>
    </row>
    <row r="461" spans="1:12" x14ac:dyDescent="0.3">
      <c r="A461" s="11" t="str">
        <f>Tb_Dados[[#This Row],[CÓD]]&amp;Tb_Dados[[#This Row],[PRODUTO]]&amp;Tb_Dados[[#This Row],[MEDIDA]]</f>
        <v>2931BOX SUEDE CINZA1380X1880X250</v>
      </c>
      <c r="B461" s="13" t="s">
        <v>359</v>
      </c>
      <c r="C461" s="13">
        <v>2931</v>
      </c>
      <c r="D461" s="20" t="s">
        <v>131</v>
      </c>
      <c r="E461" s="46" t="s">
        <v>37</v>
      </c>
      <c r="F461" s="15">
        <v>240.31748124842483</v>
      </c>
      <c r="G461" s="47">
        <v>120.15874062421241</v>
      </c>
      <c r="H461" s="17">
        <f t="shared" si="29"/>
        <v>1.38</v>
      </c>
      <c r="I461" s="17">
        <f t="shared" si="30"/>
        <v>1.88</v>
      </c>
      <c r="J461" s="18">
        <f t="shared" si="31"/>
        <v>0.25</v>
      </c>
      <c r="K461" s="18">
        <f t="shared" si="28"/>
        <v>6.4859999999999998</v>
      </c>
      <c r="L461" s="20" t="s">
        <v>38</v>
      </c>
    </row>
    <row r="462" spans="1:12" x14ac:dyDescent="0.3">
      <c r="A462" s="11" t="str">
        <f>Tb_Dados[[#This Row],[CÓD]]&amp;Tb_Dados[[#This Row],[PRODUTO]]&amp;Tb_Dados[[#This Row],[MEDIDA]]</f>
        <v>6426BOX BIPARTIDO SUEDE CINZA1580X1980X250</v>
      </c>
      <c r="B462" s="13" t="s">
        <v>359</v>
      </c>
      <c r="C462" s="13">
        <v>6426</v>
      </c>
      <c r="D462" s="20" t="s">
        <v>77</v>
      </c>
      <c r="E462" s="46" t="s">
        <v>41</v>
      </c>
      <c r="F462" s="15">
        <v>368.23811809067456</v>
      </c>
      <c r="G462" s="16">
        <v>92.05952952266864</v>
      </c>
      <c r="H462" s="17">
        <f t="shared" si="29"/>
        <v>1.58</v>
      </c>
      <c r="I462" s="17">
        <f t="shared" si="30"/>
        <v>1.98</v>
      </c>
      <c r="J462" s="18">
        <f t="shared" si="31"/>
        <v>0.25</v>
      </c>
      <c r="K462" s="18">
        <f t="shared" si="28"/>
        <v>7.8209999999999997</v>
      </c>
      <c r="L462" s="20" t="s">
        <v>42</v>
      </c>
    </row>
    <row r="463" spans="1:12" x14ac:dyDescent="0.3">
      <c r="A463" s="11" t="str">
        <f>Tb_Dados[[#This Row],[CÓD]]&amp;Tb_Dados[[#This Row],[PRODUTO]]&amp;Tb_Dados[[#This Row],[MEDIDA]]</f>
        <v>6426BOX BIPARTIDO SUEDE CINZA1930X2030X250</v>
      </c>
      <c r="B463" s="13" t="s">
        <v>359</v>
      </c>
      <c r="C463" s="13">
        <v>6426</v>
      </c>
      <c r="D463" s="20" t="s">
        <v>77</v>
      </c>
      <c r="E463" s="46" t="s">
        <v>44</v>
      </c>
      <c r="F463" s="15">
        <v>421.60878779554452</v>
      </c>
      <c r="G463" s="16">
        <v>105.40219694888613</v>
      </c>
      <c r="H463" s="17">
        <f t="shared" si="29"/>
        <v>1.93</v>
      </c>
      <c r="I463" s="17">
        <f t="shared" si="30"/>
        <v>2.0299999999999998</v>
      </c>
      <c r="J463" s="18">
        <f t="shared" si="31"/>
        <v>0.25</v>
      </c>
      <c r="K463" s="18">
        <f t="shared" si="28"/>
        <v>9.7947499999999987</v>
      </c>
      <c r="L463" s="20" t="s">
        <v>45</v>
      </c>
    </row>
    <row r="464" spans="1:12" x14ac:dyDescent="0.3">
      <c r="A464" s="11" t="str">
        <f>Tb_Dados[[#This Row],[CÓD]]&amp;Tb_Dados[[#This Row],[PRODUTO]]&amp;Tb_Dados[[#This Row],[MEDIDA]]</f>
        <v>2899BOX COM AUXÍLIO MAXFIRM880X1880X300</v>
      </c>
      <c r="B464" s="13" t="s">
        <v>359</v>
      </c>
      <c r="C464" s="13">
        <v>2899</v>
      </c>
      <c r="D464" s="20" t="s">
        <v>89</v>
      </c>
      <c r="E464" s="46" t="s">
        <v>47</v>
      </c>
      <c r="F464" s="15">
        <v>421.58637166885819</v>
      </c>
      <c r="G464" s="47">
        <v>210.7931858344291</v>
      </c>
      <c r="H464" s="17">
        <f t="shared" si="29"/>
        <v>0.88</v>
      </c>
      <c r="I464" s="17">
        <f t="shared" si="30"/>
        <v>1.88</v>
      </c>
      <c r="J464" s="18">
        <f t="shared" si="31"/>
        <v>0.3</v>
      </c>
      <c r="K464" s="18">
        <f t="shared" si="28"/>
        <v>4.9631999999999996</v>
      </c>
      <c r="L464" s="20" t="s">
        <v>384</v>
      </c>
    </row>
    <row r="465" spans="1:12" x14ac:dyDescent="0.3">
      <c r="A465" s="11" t="str">
        <f>Tb_Dados[[#This Row],[CÓD]]&amp;Tb_Dados[[#This Row],[PRODUTO]]&amp;Tb_Dados[[#This Row],[MEDIDA]]</f>
        <v>3016SUPREMA D33 PLW880X1880X240</v>
      </c>
      <c r="B465" s="13" t="s">
        <v>359</v>
      </c>
      <c r="C465" s="13">
        <v>3016</v>
      </c>
      <c r="D465" s="20" t="s">
        <v>189</v>
      </c>
      <c r="E465" s="46" t="s">
        <v>220</v>
      </c>
      <c r="F465" s="15">
        <v>403.79687299593212</v>
      </c>
      <c r="G465" s="47">
        <v>201.89843649796606</v>
      </c>
      <c r="H465" s="17">
        <f t="shared" si="29"/>
        <v>0.88</v>
      </c>
      <c r="I465" s="17">
        <f t="shared" si="30"/>
        <v>1.88</v>
      </c>
      <c r="J465" s="18">
        <f t="shared" si="31"/>
        <v>0.24</v>
      </c>
      <c r="K465" s="18">
        <f t="shared" si="28"/>
        <v>3.9705599999999999</v>
      </c>
      <c r="L465" s="20" t="s">
        <v>221</v>
      </c>
    </row>
    <row r="466" spans="1:12" x14ac:dyDescent="0.3">
      <c r="A466" s="11" t="str">
        <f>Tb_Dados[[#This Row],[CÓD]]&amp;Tb_Dados[[#This Row],[PRODUTO]]&amp;Tb_Dados[[#This Row],[MEDIDA]]</f>
        <v>3016SUPREMA D33 PLW1380X1880X240</v>
      </c>
      <c r="B466" s="13" t="s">
        <v>359</v>
      </c>
      <c r="C466" s="13">
        <v>3016</v>
      </c>
      <c r="D466" s="20" t="s">
        <v>189</v>
      </c>
      <c r="E466" s="46" t="s">
        <v>226</v>
      </c>
      <c r="F466" s="15">
        <v>628.27629166968256</v>
      </c>
      <c r="G466" s="47">
        <v>314.13814583484128</v>
      </c>
      <c r="H466" s="17">
        <f t="shared" si="29"/>
        <v>1.38</v>
      </c>
      <c r="I466" s="17">
        <f t="shared" si="30"/>
        <v>1.88</v>
      </c>
      <c r="J466" s="18">
        <f t="shared" si="31"/>
        <v>0.24</v>
      </c>
      <c r="K466" s="18">
        <f t="shared" si="28"/>
        <v>6.2265600000000001</v>
      </c>
      <c r="L466" s="20" t="s">
        <v>227</v>
      </c>
    </row>
    <row r="467" spans="1:12" x14ac:dyDescent="0.3">
      <c r="A467" s="11" t="str">
        <f>Tb_Dados[[#This Row],[CÓD]]&amp;Tb_Dados[[#This Row],[PRODUTO]]&amp;Tb_Dados[[#This Row],[MEDIDA]]</f>
        <v>3016SUPREMA D33 PLW1580X1980X240</v>
      </c>
      <c r="B467" s="13" t="s">
        <v>359</v>
      </c>
      <c r="C467" s="13">
        <v>3016</v>
      </c>
      <c r="D467" s="20" t="s">
        <v>189</v>
      </c>
      <c r="E467" s="46" t="s">
        <v>228</v>
      </c>
      <c r="F467" s="15">
        <v>732.4567640847157</v>
      </c>
      <c r="G467" s="47">
        <v>366.22838204235785</v>
      </c>
      <c r="H467" s="17">
        <f t="shared" si="29"/>
        <v>1.58</v>
      </c>
      <c r="I467" s="17">
        <f t="shared" si="30"/>
        <v>1.98</v>
      </c>
      <c r="J467" s="18">
        <f t="shared" si="31"/>
        <v>0.24</v>
      </c>
      <c r="K467" s="18">
        <f t="shared" si="28"/>
        <v>7.5081600000000002</v>
      </c>
      <c r="L467" s="20" t="s">
        <v>229</v>
      </c>
    </row>
    <row r="468" spans="1:12" x14ac:dyDescent="0.3">
      <c r="A468" s="11" t="str">
        <f>Tb_Dados[[#This Row],[CÓD]]&amp;Tb_Dados[[#This Row],[PRODUTO]]&amp;Tb_Dados[[#This Row],[MEDIDA]]</f>
        <v>3016SUPREMA D33 PLW1930X2030X240</v>
      </c>
      <c r="B468" s="13" t="s">
        <v>359</v>
      </c>
      <c r="C468" s="13">
        <v>3016</v>
      </c>
      <c r="D468" s="20" t="s">
        <v>189</v>
      </c>
      <c r="E468" s="46" t="s">
        <v>230</v>
      </c>
      <c r="F468" s="15">
        <v>910.49252640441796</v>
      </c>
      <c r="G468" s="47">
        <v>455.24626320220898</v>
      </c>
      <c r="H468" s="17">
        <f t="shared" si="29"/>
        <v>1.93</v>
      </c>
      <c r="I468" s="17">
        <f t="shared" si="30"/>
        <v>2.0299999999999998</v>
      </c>
      <c r="J468" s="18">
        <f t="shared" si="31"/>
        <v>0.24</v>
      </c>
      <c r="K468" s="18">
        <f t="shared" si="28"/>
        <v>9.4029599999999984</v>
      </c>
      <c r="L468" s="20" t="s">
        <v>231</v>
      </c>
    </row>
    <row r="469" spans="1:12" x14ac:dyDescent="0.3">
      <c r="A469" s="11" t="str">
        <f>Tb_Dados[[#This Row],[CÓD]]&amp;Tb_Dados[[#This Row],[PRODUTO]]&amp;Tb_Dados[[#This Row],[MEDIDA]]</f>
        <v>3022SUPREMA D33780X1880X200</v>
      </c>
      <c r="B469" s="13" t="s">
        <v>359</v>
      </c>
      <c r="C469" s="13">
        <v>3022</v>
      </c>
      <c r="D469" s="20" t="s">
        <v>188</v>
      </c>
      <c r="E469" s="46" t="s">
        <v>247</v>
      </c>
      <c r="F469" s="15">
        <v>344.65290648154865</v>
      </c>
      <c r="G469" s="47">
        <v>172.32645324077433</v>
      </c>
      <c r="H469" s="17">
        <f t="shared" si="29"/>
        <v>0.78</v>
      </c>
      <c r="I469" s="17">
        <f t="shared" si="30"/>
        <v>1.88</v>
      </c>
      <c r="J469" s="18">
        <f t="shared" si="31"/>
        <v>0.2</v>
      </c>
      <c r="K469" s="18">
        <f t="shared" si="28"/>
        <v>2.9327999999999999</v>
      </c>
      <c r="L469" s="20" t="s">
        <v>248</v>
      </c>
    </row>
    <row r="470" spans="1:12" x14ac:dyDescent="0.3">
      <c r="A470" s="11" t="str">
        <f>Tb_Dados[[#This Row],[CÓD]]&amp;Tb_Dados[[#This Row],[PRODUTO]]&amp;Tb_Dados[[#This Row],[MEDIDA]]</f>
        <v>3022SUPREMA D33880X1880X200</v>
      </c>
      <c r="B470" s="13" t="s">
        <v>359</v>
      </c>
      <c r="C470" s="13">
        <v>3022</v>
      </c>
      <c r="D470" s="20" t="s">
        <v>188</v>
      </c>
      <c r="E470" s="46" t="s">
        <v>208</v>
      </c>
      <c r="F470" s="15">
        <v>385.76084195698809</v>
      </c>
      <c r="G470" s="47">
        <v>192.88042097849404</v>
      </c>
      <c r="H470" s="17">
        <f t="shared" si="29"/>
        <v>0.88</v>
      </c>
      <c r="I470" s="17">
        <f t="shared" si="30"/>
        <v>1.88</v>
      </c>
      <c r="J470" s="18">
        <f t="shared" si="31"/>
        <v>0.2</v>
      </c>
      <c r="K470" s="18">
        <f t="shared" si="28"/>
        <v>3.3088000000000002</v>
      </c>
      <c r="L470" s="20" t="s">
        <v>209</v>
      </c>
    </row>
    <row r="471" spans="1:12" x14ac:dyDescent="0.3">
      <c r="A471" s="11" t="str">
        <f>Tb_Dados[[#This Row],[CÓD]]&amp;Tb_Dados[[#This Row],[PRODUTO]]&amp;Tb_Dados[[#This Row],[MEDIDA]]</f>
        <v>3022SUPREMA D331380X1880X200</v>
      </c>
      <c r="B471" s="13" t="s">
        <v>359</v>
      </c>
      <c r="C471" s="13">
        <v>3022</v>
      </c>
      <c r="D471" s="20" t="s">
        <v>188</v>
      </c>
      <c r="E471" s="46" t="s">
        <v>214</v>
      </c>
      <c r="F471" s="15">
        <v>591.30051933418576</v>
      </c>
      <c r="G471" s="47">
        <v>295.65025966709288</v>
      </c>
      <c r="H471" s="17">
        <f t="shared" si="29"/>
        <v>1.38</v>
      </c>
      <c r="I471" s="17">
        <f t="shared" si="30"/>
        <v>1.88</v>
      </c>
      <c r="J471" s="18">
        <f t="shared" si="31"/>
        <v>0.2</v>
      </c>
      <c r="K471" s="18">
        <f t="shared" si="28"/>
        <v>5.1888000000000005</v>
      </c>
      <c r="L471" s="20" t="s">
        <v>215</v>
      </c>
    </row>
    <row r="472" spans="1:12" x14ac:dyDescent="0.3">
      <c r="A472" s="11" t="str">
        <f>Tb_Dados[[#This Row],[CÓD]]&amp;Tb_Dados[[#This Row],[PRODUTO]]&amp;Tb_Dados[[#This Row],[MEDIDA]]</f>
        <v>12021SUPREMA PREMIUM D33780X1880X300</v>
      </c>
      <c r="B472" s="13" t="s">
        <v>359</v>
      </c>
      <c r="C472" s="13">
        <v>12021</v>
      </c>
      <c r="D472" s="20" t="s">
        <v>190</v>
      </c>
      <c r="E472" s="46" t="s">
        <v>251</v>
      </c>
      <c r="F472" s="15">
        <v>480.86584162825773</v>
      </c>
      <c r="G472" s="47">
        <v>240.43292081412886</v>
      </c>
      <c r="H472" s="17">
        <f t="shared" si="29"/>
        <v>0.78</v>
      </c>
      <c r="I472" s="17">
        <f t="shared" si="30"/>
        <v>1.88</v>
      </c>
      <c r="J472" s="18">
        <f t="shared" si="31"/>
        <v>0.3</v>
      </c>
      <c r="K472" s="18">
        <f t="shared" si="28"/>
        <v>4.3991999999999996</v>
      </c>
      <c r="L472" s="20" t="s">
        <v>385</v>
      </c>
    </row>
    <row r="473" spans="1:12" x14ac:dyDescent="0.3">
      <c r="A473" s="11" t="str">
        <f>Tb_Dados[[#This Row],[CÓD]]&amp;Tb_Dados[[#This Row],[PRODUTO]]&amp;Tb_Dados[[#This Row],[MEDIDA]]</f>
        <v>12021SUPREMA PREMIUM D33880X1880X300</v>
      </c>
      <c r="B473" s="13" t="s">
        <v>359</v>
      </c>
      <c r="C473" s="13">
        <v>12021</v>
      </c>
      <c r="D473" s="20" t="s">
        <v>190</v>
      </c>
      <c r="E473" s="46" t="s">
        <v>47</v>
      </c>
      <c r="F473" s="15">
        <v>538.89009998036636</v>
      </c>
      <c r="G473" s="47">
        <v>269.44504999018318</v>
      </c>
      <c r="H473" s="17">
        <f t="shared" si="29"/>
        <v>0.88</v>
      </c>
      <c r="I473" s="17">
        <f t="shared" si="30"/>
        <v>1.88</v>
      </c>
      <c r="J473" s="18">
        <f t="shared" si="31"/>
        <v>0.3</v>
      </c>
      <c r="K473" s="18">
        <f t="shared" si="28"/>
        <v>4.9631999999999996</v>
      </c>
      <c r="L473" s="20" t="s">
        <v>48</v>
      </c>
    </row>
    <row r="474" spans="1:12" x14ac:dyDescent="0.3">
      <c r="A474" s="11" t="str">
        <f>Tb_Dados[[#This Row],[CÓD]]&amp;Tb_Dados[[#This Row],[PRODUTO]]&amp;Tb_Dados[[#This Row],[MEDIDA]]</f>
        <v>12021SUPREMA PREMIUM D331380X1880X300</v>
      </c>
      <c r="B474" s="13" t="s">
        <v>359</v>
      </c>
      <c r="C474" s="13">
        <v>12021</v>
      </c>
      <c r="D474" s="20" t="s">
        <v>190</v>
      </c>
      <c r="E474" s="46" t="s">
        <v>53</v>
      </c>
      <c r="F474" s="15">
        <v>825.13139875831826</v>
      </c>
      <c r="G474" s="47">
        <v>412.56569937915913</v>
      </c>
      <c r="H474" s="17">
        <f t="shared" si="29"/>
        <v>1.38</v>
      </c>
      <c r="I474" s="17">
        <f t="shared" si="30"/>
        <v>1.88</v>
      </c>
      <c r="J474" s="18">
        <f t="shared" si="31"/>
        <v>0.3</v>
      </c>
      <c r="K474" s="18">
        <f t="shared" si="28"/>
        <v>7.783199999999999</v>
      </c>
      <c r="L474" s="20" t="s">
        <v>54</v>
      </c>
    </row>
    <row r="475" spans="1:12" x14ac:dyDescent="0.3">
      <c r="A475" s="11" t="str">
        <f>Tb_Dados[[#This Row],[CÓD]]&amp;Tb_Dados[[#This Row],[PRODUTO]]&amp;Tb_Dados[[#This Row],[MEDIDA]]</f>
        <v>12021SUPREMA PREMIUM D331580X1980X300</v>
      </c>
      <c r="B475" s="13" t="s">
        <v>359</v>
      </c>
      <c r="C475" s="13">
        <v>12021</v>
      </c>
      <c r="D475" s="20" t="s">
        <v>190</v>
      </c>
      <c r="E475" s="46" t="s">
        <v>56</v>
      </c>
      <c r="F475" s="15">
        <v>977.35980841813875</v>
      </c>
      <c r="G475" s="47">
        <v>488.67990420906938</v>
      </c>
      <c r="H475" s="17">
        <f t="shared" si="29"/>
        <v>1.58</v>
      </c>
      <c r="I475" s="17">
        <f t="shared" si="30"/>
        <v>1.98</v>
      </c>
      <c r="J475" s="18">
        <f t="shared" si="31"/>
        <v>0.3</v>
      </c>
      <c r="K475" s="18">
        <f t="shared" si="28"/>
        <v>9.3852000000000011</v>
      </c>
      <c r="L475" s="20" t="s">
        <v>57</v>
      </c>
    </row>
    <row r="476" spans="1:12" x14ac:dyDescent="0.3">
      <c r="A476" s="11" t="str">
        <f>Tb_Dados[[#This Row],[CÓD]]&amp;Tb_Dados[[#This Row],[PRODUTO]]&amp;Tb_Dados[[#This Row],[MEDIDA]]</f>
        <v>12021SUPREMA PREMIUM D331930X2030X300</v>
      </c>
      <c r="B476" s="13" t="s">
        <v>359</v>
      </c>
      <c r="C476" s="13">
        <v>12021</v>
      </c>
      <c r="D476" s="20" t="s">
        <v>190</v>
      </c>
      <c r="E476" s="46" t="s">
        <v>58</v>
      </c>
      <c r="F476" s="15">
        <v>1220.7092409564473</v>
      </c>
      <c r="G476" s="47">
        <v>610.35462047822364</v>
      </c>
      <c r="H476" s="17">
        <f t="shared" si="29"/>
        <v>1.93</v>
      </c>
      <c r="I476" s="17">
        <f t="shared" si="30"/>
        <v>2.0299999999999998</v>
      </c>
      <c r="J476" s="18">
        <f t="shared" si="31"/>
        <v>0.3</v>
      </c>
      <c r="K476" s="18">
        <f t="shared" si="28"/>
        <v>11.753699999999998</v>
      </c>
      <c r="L476" s="20" t="s">
        <v>59</v>
      </c>
    </row>
    <row r="477" spans="1:12" x14ac:dyDescent="0.3">
      <c r="A477" s="11" t="str">
        <f>Tb_Dados[[#This Row],[CÓD]]&amp;Tb_Dados[[#This Row],[PRODUTO]]&amp;Tb_Dados[[#This Row],[MEDIDA]]</f>
        <v>2731COLC COMFORT780X1880X140</v>
      </c>
      <c r="B477" s="53" t="s">
        <v>359</v>
      </c>
      <c r="C477" s="13">
        <v>2731</v>
      </c>
      <c r="D477" s="20" t="s">
        <v>386</v>
      </c>
      <c r="E477" s="46" t="s">
        <v>268</v>
      </c>
      <c r="F477" s="15">
        <v>189.51313050818595</v>
      </c>
      <c r="G477" s="32">
        <v>94.756565254092976</v>
      </c>
      <c r="H477" s="17">
        <f t="shared" si="29"/>
        <v>0.78</v>
      </c>
      <c r="I477" s="17">
        <f t="shared" si="30"/>
        <v>1.88</v>
      </c>
      <c r="J477" s="18">
        <f t="shared" si="31"/>
        <v>0.14000000000000001</v>
      </c>
      <c r="K477" s="18">
        <f t="shared" si="28"/>
        <v>2.0529600000000001</v>
      </c>
      <c r="L477" s="20" t="s">
        <v>269</v>
      </c>
    </row>
    <row r="478" spans="1:12" x14ac:dyDescent="0.3">
      <c r="A478" s="11" t="str">
        <f>Tb_Dados[[#This Row],[CÓD]]&amp;Tb_Dados[[#This Row],[PRODUTO]]&amp;Tb_Dados[[#This Row],[MEDIDA]]</f>
        <v>2731COLC COMFORT880X1880X140</v>
      </c>
      <c r="B478" s="53" t="s">
        <v>359</v>
      </c>
      <c r="C478" s="13">
        <v>2731</v>
      </c>
      <c r="D478" s="20" t="s">
        <v>386</v>
      </c>
      <c r="E478" s="46" t="s">
        <v>270</v>
      </c>
      <c r="F478" s="15">
        <v>212.26389108157795</v>
      </c>
      <c r="G478" s="32">
        <v>106.13194554078898</v>
      </c>
      <c r="H478" s="17">
        <f t="shared" si="29"/>
        <v>0.88</v>
      </c>
      <c r="I478" s="17">
        <f t="shared" si="30"/>
        <v>1.88</v>
      </c>
      <c r="J478" s="18">
        <f t="shared" si="31"/>
        <v>0.14000000000000001</v>
      </c>
      <c r="K478" s="18">
        <f t="shared" si="28"/>
        <v>2.31616</v>
      </c>
      <c r="L478" s="20" t="s">
        <v>271</v>
      </c>
    </row>
    <row r="479" spans="1:12" x14ac:dyDescent="0.3">
      <c r="A479" s="11" t="str">
        <f>Tb_Dados[[#This Row],[CÓD]]&amp;Tb_Dados[[#This Row],[PRODUTO]]&amp;Tb_Dados[[#This Row],[MEDIDA]]</f>
        <v>2731COLC COMFORT1380X1880X140</v>
      </c>
      <c r="B479" s="53" t="s">
        <v>359</v>
      </c>
      <c r="C479" s="13">
        <v>2731</v>
      </c>
      <c r="D479" s="20" t="s">
        <v>386</v>
      </c>
      <c r="E479" s="46" t="s">
        <v>276</v>
      </c>
      <c r="F479" s="15">
        <v>326.01769394853812</v>
      </c>
      <c r="G479" s="32">
        <v>163.00884697426906</v>
      </c>
      <c r="H479" s="17">
        <f t="shared" si="29"/>
        <v>1.38</v>
      </c>
      <c r="I479" s="17">
        <f t="shared" si="30"/>
        <v>1.88</v>
      </c>
      <c r="J479" s="18">
        <f t="shared" si="31"/>
        <v>0.14000000000000001</v>
      </c>
      <c r="K479" s="18">
        <f t="shared" si="28"/>
        <v>3.6321599999999998</v>
      </c>
      <c r="L479" s="20" t="s">
        <v>277</v>
      </c>
    </row>
    <row r="480" spans="1:12" x14ac:dyDescent="0.3">
      <c r="A480" s="11" t="str">
        <f>Tb_Dados[[#This Row],[CÓD]]&amp;Tb_Dados[[#This Row],[PRODUTO]]&amp;Tb_Dados[[#This Row],[MEDIDA]]</f>
        <v>2731COLC COMFORT780X1880X170</v>
      </c>
      <c r="B480" s="53" t="s">
        <v>359</v>
      </c>
      <c r="C480" s="13">
        <v>2731</v>
      </c>
      <c r="D480" s="20" t="s">
        <v>386</v>
      </c>
      <c r="E480" s="46" t="s">
        <v>237</v>
      </c>
      <c r="F480" s="15">
        <v>222.998833575009</v>
      </c>
      <c r="G480" s="32">
        <v>111.4994167875045</v>
      </c>
      <c r="H480" s="17">
        <f t="shared" si="29"/>
        <v>0.78</v>
      </c>
      <c r="I480" s="17">
        <f t="shared" si="30"/>
        <v>1.88</v>
      </c>
      <c r="J480" s="18">
        <f t="shared" si="31"/>
        <v>0.17</v>
      </c>
      <c r="K480" s="18">
        <f t="shared" si="28"/>
        <v>2.49288</v>
      </c>
      <c r="L480" s="20" t="s">
        <v>238</v>
      </c>
    </row>
    <row r="481" spans="1:12" x14ac:dyDescent="0.3">
      <c r="A481" s="11" t="str">
        <f>Tb_Dados[[#This Row],[CÓD]]&amp;Tb_Dados[[#This Row],[PRODUTO]]&amp;Tb_Dados[[#This Row],[MEDIDA]]</f>
        <v>2731COLC COMFORT880X1880X170</v>
      </c>
      <c r="B481" s="53" t="s">
        <v>359</v>
      </c>
      <c r="C481" s="13">
        <v>2731</v>
      </c>
      <c r="D481" s="20" t="s">
        <v>386</v>
      </c>
      <c r="E481" s="46" t="s">
        <v>239</v>
      </c>
      <c r="F481" s="15">
        <v>249.79224877308926</v>
      </c>
      <c r="G481" s="32">
        <v>124.89612438654463</v>
      </c>
      <c r="H481" s="17">
        <f t="shared" si="29"/>
        <v>0.88</v>
      </c>
      <c r="I481" s="17">
        <f t="shared" si="30"/>
        <v>1.88</v>
      </c>
      <c r="J481" s="18">
        <f t="shared" si="31"/>
        <v>0.17</v>
      </c>
      <c r="K481" s="18">
        <f t="shared" si="28"/>
        <v>2.8124799999999999</v>
      </c>
      <c r="L481" s="20" t="s">
        <v>240</v>
      </c>
    </row>
    <row r="482" spans="1:12" x14ac:dyDescent="0.3">
      <c r="A482" s="11" t="str">
        <f>Tb_Dados[[#This Row],[CÓD]]&amp;Tb_Dados[[#This Row],[PRODUTO]]&amp;Tb_Dados[[#This Row],[MEDIDA]]</f>
        <v>2731COLC COMFORT1380X1880X170</v>
      </c>
      <c r="B482" s="53" t="s">
        <v>359</v>
      </c>
      <c r="C482" s="13">
        <v>2731</v>
      </c>
      <c r="D482" s="20" t="s">
        <v>386</v>
      </c>
      <c r="E482" s="46" t="s">
        <v>245</v>
      </c>
      <c r="F482" s="15">
        <v>383.7593247634905</v>
      </c>
      <c r="G482" s="32">
        <v>191.87966238174525</v>
      </c>
      <c r="H482" s="17">
        <f t="shared" si="29"/>
        <v>1.38</v>
      </c>
      <c r="I482" s="17">
        <f t="shared" si="30"/>
        <v>1.88</v>
      </c>
      <c r="J482" s="18">
        <f t="shared" si="31"/>
        <v>0.17</v>
      </c>
      <c r="K482" s="18">
        <f t="shared" si="28"/>
        <v>4.4104799999999997</v>
      </c>
      <c r="L482" s="20" t="s">
        <v>246</v>
      </c>
    </row>
    <row r="483" spans="1:12" x14ac:dyDescent="0.3">
      <c r="A483" s="11" t="str">
        <f>Tb_Dados[[#This Row],[CÓD]]&amp;Tb_Dados[[#This Row],[PRODUTO]]&amp;Tb_Dados[[#This Row],[MEDIDA]]</f>
        <v>2712COLC SLEEP INFANTIL600X1300X120</v>
      </c>
      <c r="B483" s="53" t="s">
        <v>359</v>
      </c>
      <c r="C483" s="13">
        <v>2712</v>
      </c>
      <c r="D483" s="20" t="s">
        <v>387</v>
      </c>
      <c r="E483" s="46" t="s">
        <v>292</v>
      </c>
      <c r="F483" s="15">
        <v>186.73217262791698</v>
      </c>
      <c r="G483" s="32">
        <v>93.36608631395849</v>
      </c>
      <c r="H483" s="17">
        <f t="shared" si="29"/>
        <v>0.6</v>
      </c>
      <c r="I483" s="17">
        <f t="shared" si="30"/>
        <v>1.3</v>
      </c>
      <c r="J483" s="18">
        <f t="shared" si="31"/>
        <v>0.12</v>
      </c>
      <c r="K483" s="18">
        <f t="shared" si="28"/>
        <v>0.93600000000000005</v>
      </c>
      <c r="L483" s="20" t="s">
        <v>293</v>
      </c>
    </row>
    <row r="484" spans="1:12" x14ac:dyDescent="0.3">
      <c r="A484" s="11" t="str">
        <f>Tb_Dados[[#This Row],[CÓD]]&amp;Tb_Dados[[#This Row],[PRODUTO]]&amp;Tb_Dados[[#This Row],[MEDIDA]]</f>
        <v>2712COLC SLEEP INFANTIL700X1300X120</v>
      </c>
      <c r="B484" s="53" t="s">
        <v>359</v>
      </c>
      <c r="C484" s="13">
        <v>2712</v>
      </c>
      <c r="D484" s="20" t="s">
        <v>387</v>
      </c>
      <c r="E484" s="46" t="s">
        <v>294</v>
      </c>
      <c r="F484" s="15">
        <v>214.7482981912564</v>
      </c>
      <c r="G484" s="32">
        <v>107.3741490956282</v>
      </c>
      <c r="H484" s="17">
        <f t="shared" si="29"/>
        <v>0.7</v>
      </c>
      <c r="I484" s="17">
        <f t="shared" si="30"/>
        <v>1.3</v>
      </c>
      <c r="J484" s="18">
        <f t="shared" si="31"/>
        <v>0.12</v>
      </c>
      <c r="K484" s="18">
        <f t="shared" si="28"/>
        <v>1.0919999999999999</v>
      </c>
      <c r="L484" s="20" t="s">
        <v>295</v>
      </c>
    </row>
    <row r="485" spans="1:12" x14ac:dyDescent="0.3">
      <c r="A485" s="11" t="str">
        <f>Tb_Dados[[#This Row],[CÓD]]&amp;Tb_Dados[[#This Row],[PRODUTO]]&amp;Tb_Dados[[#This Row],[MEDIDA]]</f>
        <v>2712COLC SLEEP INFANTIL700X1500X120</v>
      </c>
      <c r="B485" s="53" t="s">
        <v>359</v>
      </c>
      <c r="C485" s="13">
        <v>2712</v>
      </c>
      <c r="D485" s="20" t="s">
        <v>387</v>
      </c>
      <c r="E485" s="46" t="s">
        <v>296</v>
      </c>
      <c r="F485" s="15">
        <v>228.1256696363578</v>
      </c>
      <c r="G485" s="32">
        <v>114.0628348181789</v>
      </c>
      <c r="H485" s="17">
        <f t="shared" si="29"/>
        <v>0.7</v>
      </c>
      <c r="I485" s="17">
        <f t="shared" si="30"/>
        <v>1.5</v>
      </c>
      <c r="J485" s="18">
        <f t="shared" si="31"/>
        <v>0.12</v>
      </c>
      <c r="K485" s="18">
        <f t="shared" si="28"/>
        <v>1.2599999999999998</v>
      </c>
      <c r="L485" s="20" t="s">
        <v>297</v>
      </c>
    </row>
    <row r="486" spans="1:12" x14ac:dyDescent="0.3">
      <c r="A486" s="11" t="str">
        <f>Tb_Dados[[#This Row],[CÓD]]&amp;Tb_Dados[[#This Row],[PRODUTO]]&amp;Tb_Dados[[#This Row],[MEDIDA]]</f>
        <v>3431BOX BAU880X1880X360</v>
      </c>
      <c r="B486" s="53" t="s">
        <v>359</v>
      </c>
      <c r="C486" s="13">
        <v>3431</v>
      </c>
      <c r="D486" s="20" t="s">
        <v>388</v>
      </c>
      <c r="E486" s="46" t="s">
        <v>351</v>
      </c>
      <c r="F486" s="15">
        <v>1992.6225350284637</v>
      </c>
      <c r="G486" s="32">
        <v>996.31126751423187</v>
      </c>
      <c r="H486" s="17">
        <f t="shared" si="29"/>
        <v>0.88</v>
      </c>
      <c r="I486" s="17">
        <f t="shared" si="30"/>
        <v>1.88</v>
      </c>
      <c r="J486" s="18">
        <f t="shared" si="31"/>
        <v>0.36</v>
      </c>
      <c r="K486" s="18">
        <f t="shared" si="28"/>
        <v>5.9558399999999985</v>
      </c>
      <c r="L486" s="20" t="s">
        <v>389</v>
      </c>
    </row>
    <row r="487" spans="1:12" x14ac:dyDescent="0.3">
      <c r="A487" s="11" t="str">
        <f>Tb_Dados[[#This Row],[CÓD]]&amp;Tb_Dados[[#This Row],[PRODUTO]]&amp;Tb_Dados[[#This Row],[MEDIDA]]</f>
        <v>3431BOX BAU1380X1880X360</v>
      </c>
      <c r="B487" s="53" t="s">
        <v>359</v>
      </c>
      <c r="C487" s="13">
        <v>3431</v>
      </c>
      <c r="D487" s="20" t="s">
        <v>388</v>
      </c>
      <c r="E487" s="46" t="s">
        <v>353</v>
      </c>
      <c r="F487" s="15">
        <v>2149.1754621826803</v>
      </c>
      <c r="G487" s="32">
        <v>1074.5877310913402</v>
      </c>
      <c r="H487" s="17">
        <f t="shared" si="29"/>
        <v>1.38</v>
      </c>
      <c r="I487" s="17">
        <f t="shared" si="30"/>
        <v>1.88</v>
      </c>
      <c r="J487" s="18">
        <f t="shared" si="31"/>
        <v>0.36</v>
      </c>
      <c r="K487" s="18">
        <f t="shared" si="28"/>
        <v>9.3398399999999988</v>
      </c>
      <c r="L487" s="20" t="s">
        <v>390</v>
      </c>
    </row>
    <row r="488" spans="1:12" x14ac:dyDescent="0.3">
      <c r="A488" s="11" t="str">
        <f>Tb_Dados[[#This Row],[CÓD]]&amp;Tb_Dados[[#This Row],[PRODUTO]]&amp;Tb_Dados[[#This Row],[MEDIDA]]</f>
        <v>3567BOX BIPARTIDO BAU1930X2030X360</v>
      </c>
      <c r="B488" s="53" t="s">
        <v>359</v>
      </c>
      <c r="C488" s="13">
        <v>3567</v>
      </c>
      <c r="D488" s="20" t="s">
        <v>391</v>
      </c>
      <c r="E488" s="13" t="s">
        <v>357</v>
      </c>
      <c r="F488" s="15">
        <v>2439.564440112928</v>
      </c>
      <c r="G488" s="32">
        <v>609.89111002823199</v>
      </c>
      <c r="H488" s="17">
        <f t="shared" si="29"/>
        <v>1.93</v>
      </c>
      <c r="I488" s="17">
        <f t="shared" si="30"/>
        <v>2.0299999999999998</v>
      </c>
      <c r="J488" s="18">
        <f t="shared" si="31"/>
        <v>0.36</v>
      </c>
      <c r="K488" s="18">
        <f t="shared" si="28"/>
        <v>14.104439999999999</v>
      </c>
      <c r="L488" s="20" t="s">
        <v>358</v>
      </c>
    </row>
    <row r="489" spans="1:12" x14ac:dyDescent="0.3">
      <c r="A489" s="11"/>
    </row>
    <row r="490" spans="1:12" x14ac:dyDescent="0.3">
      <c r="A490" s="11"/>
    </row>
    <row r="491" spans="1:12" x14ac:dyDescent="0.3">
      <c r="A491" s="11"/>
    </row>
    <row r="492" spans="1:12" x14ac:dyDescent="0.3">
      <c r="A492" s="11"/>
    </row>
    <row r="493" spans="1:12" x14ac:dyDescent="0.3">
      <c r="A493" s="11"/>
    </row>
    <row r="494" spans="1:12" x14ac:dyDescent="0.3">
      <c r="A494" s="11"/>
    </row>
    <row r="495" spans="1:12" x14ac:dyDescent="0.3">
      <c r="A495" s="11"/>
    </row>
    <row r="496" spans="1:12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</sheetData>
  <autoFilter ref="P5:P123" xr:uid="{40D45815-4FB9-4DDC-A0ED-49855DBACE46}"/>
  <conditionalFormatting sqref="A6:A499">
    <cfRule type="duplicateValues" dxfId="22" priority="1"/>
  </conditionalFormatting>
  <pageMargins left="0.511811024" right="0.511811024" top="0.78740157499999996" bottom="0.78740157499999996" header="0.31496062000000002" footer="0.31496062000000002"/>
  <drawing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Bonsono Colchões</dc:creator>
  <cp:lastModifiedBy>Bonsono Colchões</cp:lastModifiedBy>
  <dcterms:created xsi:type="dcterms:W3CDTF">2026-08-27T14:57:12Z</dcterms:created>
  <dcterms:modified xsi:type="dcterms:W3CDTF">2026-08-27T15:02:33Z</dcterms:modified>
</cp:coreProperties>
</file>